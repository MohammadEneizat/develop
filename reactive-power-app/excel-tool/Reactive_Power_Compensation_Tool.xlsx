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izing" sheetId="2" state="visible" r:id="rId2"/>
    <sheet name="GridCodes" sheetId="3" state="visible" r:id="rId3"/>
    <sheet name="InverterPQ" sheetId="4" state="visible" r:id="rId4"/>
    <sheet name="Compli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5">
    <font>
      <name val="Calibri"/>
      <family val="2"/>
      <color theme="1"/>
      <sz val="11"/>
      <scheme val="minor"/>
    </font>
    <font>
      <b val="1"/>
      <color rgb="001C5CAB"/>
      <sz val="14"/>
    </font>
    <font>
      <b val="1"/>
    </font>
    <font>
      <b val="1"/>
      <color rgb="00FFFFFF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FF3CC"/>
      </patternFill>
    </fill>
    <fill>
      <patternFill patternType="solid">
        <fgColor rgb="00EEF1F4"/>
      </patternFill>
    </fill>
    <fill>
      <patternFill patternType="solid">
        <fgColor rgb="00D9E4F2"/>
      </patternFill>
    </fill>
    <fill>
      <patternFill patternType="solid">
        <fgColor rgb="00E6F4E6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2" fontId="0" fillId="4" borderId="1" pivotButton="0" quotePrefix="0" xfId="0"/>
    <xf numFmtId="0" fontId="2" fillId="5" borderId="1" applyAlignment="1" pivotButton="0" quotePrefix="0" xfId="0">
      <alignment horizontal="center" wrapText="1"/>
    </xf>
    <xf numFmtId="164" fontId="0" fillId="4" borderId="1" pivotButton="0" quotePrefix="0" xfId="0"/>
    <xf numFmtId="1" fontId="0" fillId="3" borderId="1" pivotButton="0" quotePrefix="0" xfId="0"/>
    <xf numFmtId="0" fontId="2" fillId="0" borderId="1" pivotButton="0" quotePrefix="0" xfId="0"/>
    <xf numFmtId="2" fontId="2" fillId="6" borderId="1" pivotButton="0" quotePrefix="0" xfId="0"/>
    <xf numFmtId="165" fontId="0" fillId="4" borderId="1" pivotButton="0" quotePrefix="0" xfId="0"/>
    <xf numFmtId="166" fontId="0" fillId="3" borderId="1" pivotButton="0" quotePrefix="0" xfId="0"/>
    <xf numFmtId="1" fontId="0" fillId="4" borderId="1" pivotButton="0" quotePrefix="0" xfId="0"/>
    <xf numFmtId="1" fontId="2" fillId="6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5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164" fontId="2" fillId="5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" fontId="0" fillId="4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C9EFC9"/>
        </patternFill>
      </fill>
    </dxf>
    <dxf>
      <fill>
        <patternFill patternType="solid">
          <fgColor rgb="00F6C9C9"/>
        </patternFill>
      </fill>
    </dxf>
    <dxf>
      <fill>
        <patternFill patternType="solid">
          <fgColor rgb="00E6F4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V-Q Diagram at CP — Registered Capacity</a:t>
            </a:r>
          </a:p>
        </rich>
      </tx>
    </title>
    <plotArea>
      <scatterChart>
        <ser>
          <idx val="0"/>
          <order val="0"/>
          <tx>
            <v>Requirement</v>
          </tx>
          <spPr>
            <a:ln w="22000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'Compliance'!$M$10:$M$16</f>
            </numRef>
          </xVal>
          <yVal>
            <numRef>
              <f>'Compliance'!$N$10:$N$16</f>
            </numRef>
          </yVal>
          <smooth val="0"/>
        </ser>
        <ser>
          <idx val="1"/>
          <order val="1"/>
          <tx>
            <v>Capability — production (lag)</v>
          </tx>
          <spPr>
            <a:ln w="22000">
              <a:solidFill>
                <a:srgbClr val="1C5CA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'Compliance'!$J$19:$J$39</f>
            </numRef>
          </xVal>
          <yVal>
            <numRef>
              <f>'Compliance'!$B$19:$B$39</f>
            </numRef>
          </yVal>
          <smooth val="0"/>
        </ser>
        <ser>
          <idx val="2"/>
          <order val="2"/>
          <tx>
            <v>Capability — absorption (lead)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'Compliance'!$N$19:$N$39</f>
            </numRef>
          </xVal>
          <yVal>
            <numRef>
              <f>'Compliance'!$B$19:$B$39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 at CP (MVAr)    [lead &lt; 0 &lt; lag]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.12"/>
          <min val="0.8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 (pu)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P-Q Diagram at CP — 1.00 pu</a:t>
            </a:r>
          </a:p>
        </rich>
      </tx>
    </title>
    <plotArea>
      <scatterChart>
        <ser>
          <idx val="0"/>
          <order val="0"/>
          <tx>
            <v>Requirement (lag)</v>
          </tx>
          <spPr>
            <a:ln w="22000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'Compliance'!$L$47:$L$87</f>
            </numRef>
          </xVal>
          <yVal>
            <numRef>
              <f>'Compliance'!$B$47:$B$87</f>
            </numRef>
          </yVal>
          <smooth val="0"/>
        </ser>
        <ser>
          <idx val="1"/>
          <order val="1"/>
          <tx>
            <v>Requirement (lead)</v>
          </tx>
          <spPr>
            <a:ln w="22000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'Compliance'!$P$47:$P$87</f>
            </numRef>
          </xVal>
          <yVal>
            <numRef>
              <f>'Compliance'!$B$47:$B$87</f>
            </numRef>
          </yVal>
          <smooth val="0"/>
        </ser>
        <ser>
          <idx val="2"/>
          <order val="2"/>
          <tx>
            <v>Capability — production (lag)</v>
          </tx>
          <spPr>
            <a:ln w="22000">
              <a:solidFill>
                <a:srgbClr val="1C5CA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'Compliance'!$J$47:$J$87</f>
            </numRef>
          </xVal>
          <yVal>
            <numRef>
              <f>'Compliance'!$B$47:$B$87</f>
            </numRef>
          </yVal>
          <smooth val="0"/>
        </ser>
        <ser>
          <idx val="3"/>
          <order val="3"/>
          <tx>
            <v>Capability — absorption (lead)</v>
          </tx>
          <spPr>
            <a:ln w="22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'Compliance'!$N$47:$N$87</f>
            </numRef>
          </xVal>
          <yVal>
            <numRef>
              <f>'Compliance'!$B$47:$B$87</f>
            </numRef>
          </yVal>
          <smooth val="0"/>
        </ser>
        <ser>
          <idx val="4"/>
          <order val="4"/>
          <tx>
            <v>MSOL</v>
          </tx>
          <spPr>
            <a:ln w="12000">
              <a:solidFill>
                <a:srgbClr val="888888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'Compliance'!$M$89:$M$90</f>
            </numRef>
          </xVal>
          <yVal>
            <numRef>
              <f>'Compliance'!$N$89:$N$90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 at CP (MVAr)    [lead &lt; 0 &lt; lag]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 (MW)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25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 ht="24" customHeight="1">
      <c r="A1" s="1" t="inlineStr">
        <is>
          <t>REACTIVE POWER COMPENSATION SIZING TOOL</t>
        </is>
      </c>
    </row>
    <row r="2">
      <c r="A2" t="inlineStr"/>
    </row>
    <row r="3">
      <c r="A3" t="inlineStr">
        <is>
          <t>A standalone Excel version of the reactive power sizing app. Sheets:</t>
        </is>
      </c>
    </row>
    <row r="4">
      <c r="A4" t="inlineStr">
        <is>
          <t xml:space="preserve">   1. Sizing — the calculation chain: grid demand, transformer consumption, losses, inverter sizing, checks.</t>
        </is>
      </c>
    </row>
    <row r="5">
      <c r="A5" t="inlineStr">
        <is>
          <t xml:space="preserve">   2. GridCodes — database of published grid-code reactive requirements; pick one from the dropdown (B1).</t>
        </is>
      </c>
    </row>
    <row r="6">
      <c r="A6" t="inlineStr">
        <is>
          <t xml:space="preserve">   3. InverterPQ — the manufacturer's Q(t)-mode capability table (% of rated kVA per voltage and loading).</t>
        </is>
      </c>
    </row>
    <row r="7">
      <c r="A7" t="inlineStr">
        <is>
          <t xml:space="preserve">   4. Compliance — V-Q at Registered Capacity and P-Q at nominal voltage vs the selected grid code, with charts.</t>
        </is>
      </c>
    </row>
    <row r="8">
      <c r="A8" t="inlineStr"/>
    </row>
    <row r="9">
      <c r="A9" t="inlineStr">
        <is>
          <t>Colour key:   yellow = input cells,   grey = calculated,   green = key results.</t>
        </is>
      </c>
    </row>
    <row r="10">
      <c r="A10" t="inlineStr"/>
    </row>
    <row r="11">
      <c r="A11" s="2" t="inlineStr">
        <is>
          <t>Notes:</t>
        </is>
      </c>
    </row>
    <row r="12">
      <c r="A12" t="inlineStr">
        <is>
          <t xml:space="preserve">   - Inverter count: leave the manual-count cell blank to auto-size (meets both reactive and delivery needs).</t>
        </is>
      </c>
    </row>
    <row r="13">
      <c r="A13" t="inlineStr">
        <is>
          <t xml:space="preserve">   - Reactive capability precedence: capability table (if 'Use table' = Yes) &gt; manual kVAr override &gt; sqrt(S²-P²).</t>
        </is>
      </c>
    </row>
    <row r="14">
      <c r="A14" t="inlineStr">
        <is>
          <t xml:space="preserve">   - Compliance dispatches inverters at (grid limit + losses) / count, as in a G99 Type C study.</t>
        </is>
      </c>
    </row>
    <row r="15">
      <c r="A15" t="inlineStr">
        <is>
          <t xml:space="preserve">   - Export capability is net of transformer consumption; absorption is aided by it; capacitor bank exports only.</t>
        </is>
      </c>
    </row>
    <row r="16">
      <c r="A16" t="inlineStr">
        <is>
          <t xml:space="preserve">   - Voltage capability is interpolated linearly between the capability-table rows (conservative across N/A gaps).</t>
        </is>
      </c>
    </row>
    <row r="17">
      <c r="A17" t="inlineStr">
        <is>
          <t xml:space="preserve">   - Grid-code presets are typical published values — always confirm against your interconnection agreement.</t>
        </is>
      </c>
    </row>
    <row r="18">
      <c r="A18" t="inlineStr">
        <is>
          <t xml:space="preserve">   - This tool is an analytic screening aid, not a substitute for a network load-flow study.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0" customWidth="1" min="3" max="3"/>
    <col width="2" customWidth="1" min="4" max="4"/>
    <col width="60" customWidth="1" min="5" max="5"/>
  </cols>
  <sheetData>
    <row r="1" ht="24" customHeight="1">
      <c r="A1" s="1" t="inlineStr">
        <is>
          <t>SIZING</t>
        </is>
      </c>
    </row>
    <row r="3" ht="18" customHeight="1">
      <c r="A3" s="3" t="inlineStr">
        <is>
          <t>PROJECT</t>
        </is>
      </c>
    </row>
    <row r="4">
      <c r="A4" s="4" t="inlineStr">
        <is>
          <t>Project name</t>
        </is>
      </c>
      <c r="B4" s="5" t="inlineStr">
        <is>
          <t>Belvior</t>
        </is>
      </c>
      <c r="C4" s="4" t="inlineStr"/>
    </row>
    <row r="6" ht="18" customHeight="1">
      <c r="A6" s="3" t="inlineStr">
        <is>
          <t>STEP 1 — INITIAL SIZING</t>
        </is>
      </c>
    </row>
    <row r="7">
      <c r="A7" s="4" t="inlineStr">
        <is>
          <t>Grid injection limit / Registered Capacity</t>
        </is>
      </c>
      <c r="B7" s="6" t="n">
        <v>52.8</v>
      </c>
      <c r="C7" s="4" t="inlineStr">
        <is>
          <t>MW</t>
        </is>
      </c>
    </row>
    <row r="8">
      <c r="A8" s="4" t="inlineStr">
        <is>
          <t>Power factor at grid</t>
        </is>
      </c>
      <c r="B8" s="7" t="n">
        <v>0.95</v>
      </c>
      <c r="C8" s="4" t="inlineStr">
        <is>
          <t>cos φ</t>
        </is>
      </c>
    </row>
    <row r="9">
      <c r="A9" s="4" t="inlineStr">
        <is>
          <t>MVA rating of plant</t>
        </is>
      </c>
      <c r="B9" s="8">
        <f>B7/B8</f>
        <v/>
      </c>
      <c r="C9" s="4" t="inlineStr">
        <is>
          <t>MVA</t>
        </is>
      </c>
    </row>
    <row r="10">
      <c r="A10" s="4" t="inlineStr">
        <is>
          <t>MVAr demand (grid PF)</t>
        </is>
      </c>
      <c r="B10" s="8">
        <f>SQRT(B9^2-B7^2)</f>
        <v/>
      </c>
      <c r="C10" s="4" t="inlineStr">
        <is>
          <t>MVAr</t>
        </is>
      </c>
    </row>
    <row r="12" ht="18" customHeight="1">
      <c r="A12" s="3" t="inlineStr">
        <is>
          <t>STEP 2 — TRANSFORMER REACTIVE CONSUMPTION</t>
        </is>
      </c>
    </row>
    <row r="13">
      <c r="A13" s="9" t="inlineStr">
        <is>
          <t>Group</t>
        </is>
      </c>
      <c r="B13" s="9" t="inlineStr">
        <is>
          <t>Qty</t>
        </is>
      </c>
      <c r="C13" s="9" t="inlineStr">
        <is>
          <t>kVA</t>
        </is>
      </c>
      <c r="D13" s="9" t="inlineStr">
        <is>
          <t>Z %</t>
        </is>
      </c>
      <c r="E13" s="9" t="inlineStr">
        <is>
          <t>Q (kVAr)</t>
        </is>
      </c>
    </row>
    <row r="14">
      <c r="A14" s="5" t="inlineStr">
        <is>
          <t>TS Block 1</t>
        </is>
      </c>
      <c r="B14" s="5" t="n">
        <v>3</v>
      </c>
      <c r="C14" s="5" t="n">
        <v>10164</v>
      </c>
      <c r="D14" s="5" t="n">
        <v>9.5</v>
      </c>
      <c r="E14" s="10">
        <f>IF(COUNT(B14:D14)=3,B14*C14*D14/100,0)</f>
        <v/>
      </c>
    </row>
    <row r="15">
      <c r="A15" s="5" t="inlineStr">
        <is>
          <t>TS Block 2</t>
        </is>
      </c>
      <c r="B15" s="5" t="n">
        <v>4</v>
      </c>
      <c r="C15" s="5" t="n">
        <v>7260</v>
      </c>
      <c r="D15" s="5" t="n">
        <v>9.5</v>
      </c>
      <c r="E15" s="10">
        <f>IF(COUNT(B15:D15)=3,B15*C15*D15/100,0)</f>
        <v/>
      </c>
    </row>
    <row r="16">
      <c r="A16" s="5" t="inlineStr">
        <is>
          <t>Auxiliary transformer (MCR)</t>
        </is>
      </c>
      <c r="B16" s="5" t="n">
        <v>1</v>
      </c>
      <c r="C16" s="5" t="n">
        <v>500</v>
      </c>
      <c r="D16" s="5" t="n">
        <v>4.5</v>
      </c>
      <c r="E16" s="10">
        <f>IF(COUNT(B16:D16)=3,B16*C16*D16/100,0)</f>
        <v/>
      </c>
    </row>
    <row r="17">
      <c r="A17" s="5" t="inlineStr"/>
      <c r="B17" s="5" t="n"/>
      <c r="C17" s="5" t="n"/>
      <c r="D17" s="5" t="n"/>
      <c r="E17" s="10">
        <f>IF(COUNT(B17:D17)=3,B17*C17*D17/100,0)</f>
        <v/>
      </c>
    </row>
    <row r="18">
      <c r="A18" s="5" t="inlineStr"/>
      <c r="B18" s="5" t="n"/>
      <c r="C18" s="5" t="n"/>
      <c r="D18" s="5" t="n"/>
      <c r="E18" s="10">
        <f>IF(COUNT(B18:D18)=3,B18*C18*D18/100,0)</f>
        <v/>
      </c>
    </row>
    <row r="19">
      <c r="A19" s="5" t="inlineStr"/>
      <c r="B19" s="5" t="n"/>
      <c r="C19" s="5" t="n"/>
      <c r="D19" s="5" t="n"/>
      <c r="E19" s="10">
        <f>IF(COUNT(B19:D19)=3,B19*C19*D19/100,0)</f>
        <v/>
      </c>
    </row>
    <row r="20">
      <c r="A20" s="4" t="inlineStr">
        <is>
          <t>Design margin on transformer demand</t>
        </is>
      </c>
      <c r="B20" s="11" t="n">
        <v>10</v>
      </c>
      <c r="C20" s="4" t="inlineStr">
        <is>
          <t>%</t>
        </is>
      </c>
    </row>
    <row r="21">
      <c r="A21" s="4" t="inlineStr">
        <is>
          <t>Transformer demand incl. margin</t>
        </is>
      </c>
      <c r="B21" s="8">
        <f>SUM(E14:E19)/1000*(1+B20/100)</f>
        <v/>
      </c>
      <c r="C21" s="4" t="inlineStr">
        <is>
          <t>MVAr</t>
        </is>
      </c>
    </row>
    <row r="22">
      <c r="A22" s="12" t="inlineStr">
        <is>
          <t>TOTAL REACTIVE DEMAND</t>
        </is>
      </c>
      <c r="B22" s="13">
        <f>B10+B21</f>
        <v/>
      </c>
      <c r="C22" s="4" t="inlineStr">
        <is>
          <t>MVAr</t>
        </is>
      </c>
    </row>
    <row r="24" ht="18" customHeight="1">
      <c r="A24" s="3" t="inlineStr">
        <is>
          <t>STEP 3 — INTERNAL SYSTEM LOSSES</t>
        </is>
      </c>
    </row>
    <row r="25">
      <c r="A25" s="9" t="inlineStr">
        <is>
          <t>Loss source</t>
        </is>
      </c>
      <c r="B25" s="9" t="inlineStr">
        <is>
          <t>Fraction %</t>
        </is>
      </c>
      <c r="C25" s="9" t="inlineStr">
        <is>
          <t>Loss (MW)</t>
        </is>
      </c>
    </row>
    <row r="26">
      <c r="A26" s="4" t="inlineStr">
        <is>
          <t>AC cable loss</t>
        </is>
      </c>
      <c r="B26" s="6" t="n">
        <v>1</v>
      </c>
      <c r="C26" s="14">
        <f>B26*$B$7/100</f>
        <v/>
      </c>
    </row>
    <row r="27">
      <c r="A27" s="4" t="inlineStr">
        <is>
          <t>Auxiliary system loss (string inverters)</t>
        </is>
      </c>
      <c r="B27" s="6" t="n">
        <v>1</v>
      </c>
      <c r="C27" s="14">
        <f>B27*$B$7/100</f>
        <v/>
      </c>
    </row>
    <row r="28">
      <c r="A28" s="4" t="inlineStr">
        <is>
          <t>Transmission line loss</t>
        </is>
      </c>
      <c r="B28" s="6" t="n">
        <v>0.3</v>
      </c>
      <c r="C28" s="14">
        <f>B28*$B$7/100</f>
        <v/>
      </c>
    </row>
    <row r="29">
      <c r="A29" s="4" t="inlineStr">
        <is>
          <t>Miscellaneous losses</t>
        </is>
      </c>
      <c r="B29" s="6" t="n">
        <v>1</v>
      </c>
      <c r="C29" s="14">
        <f>B29*$B$7/100</f>
        <v/>
      </c>
    </row>
    <row r="30">
      <c r="A30" s="4" t="inlineStr">
        <is>
          <t>Total system losses</t>
        </is>
      </c>
      <c r="B30" s="14">
        <f>SUM(C26:C29)</f>
        <v/>
      </c>
      <c r="C30" s="4" t="inlineStr">
        <is>
          <t>MW</t>
        </is>
      </c>
    </row>
    <row r="31">
      <c r="A31" s="4" t="inlineStr">
        <is>
          <t>Capacity to be considered</t>
        </is>
      </c>
      <c r="B31" s="8">
        <f>B7+B30</f>
        <v/>
      </c>
      <c r="C31" s="4" t="inlineStr">
        <is>
          <t>MW</t>
        </is>
      </c>
    </row>
    <row r="33" ht="18" customHeight="1">
      <c r="A33" s="3" t="inlineStr">
        <is>
          <t>STEP 4 — INVERTER CAPABILITY &amp; COMPENSATION</t>
        </is>
      </c>
    </row>
    <row r="34">
      <c r="A34" s="4" t="inlineStr">
        <is>
          <t>Inverter apparent power</t>
        </is>
      </c>
      <c r="B34" s="11" t="n">
        <v>363</v>
      </c>
      <c r="C34" s="4" t="inlineStr">
        <is>
          <t>kVA</t>
        </is>
      </c>
    </row>
    <row r="35">
      <c r="A35" s="4" t="inlineStr">
        <is>
          <t>PF at inverter level  (tip: Goal Seek on B47/B48)</t>
        </is>
      </c>
      <c r="B35" s="15" t="n">
        <v>0.918</v>
      </c>
      <c r="C35" s="4" t="inlineStr">
        <is>
          <t>cos φ</t>
        </is>
      </c>
    </row>
    <row r="36">
      <c r="A36" s="4" t="inlineStr">
        <is>
          <t>Active power / inverter</t>
        </is>
      </c>
      <c r="B36" s="10">
        <f>B34*B35</f>
        <v/>
      </c>
      <c r="C36" s="4" t="inlineStr">
        <is>
          <t>kW</t>
        </is>
      </c>
    </row>
    <row r="37">
      <c r="A37" s="4" t="inlineStr">
        <is>
          <t>Reactive capability — derived √(S²-P²)</t>
        </is>
      </c>
      <c r="B37" s="10">
        <f>SQRT(B34^2-B36^2)</f>
        <v/>
      </c>
      <c r="C37" s="4" t="inlineStr">
        <is>
          <t>kVAr</t>
        </is>
      </c>
    </row>
    <row r="38">
      <c r="A38" s="4" t="inlineStr">
        <is>
          <t>Reactive capability — manual override (optional)</t>
        </is>
      </c>
      <c r="B38" s="6" t="n"/>
      <c r="C38" s="4" t="inlineStr">
        <is>
          <t>kVAr</t>
        </is>
      </c>
    </row>
    <row r="39">
      <c r="A39" s="4" t="inlineStr">
        <is>
          <t>Reactive capability — from InverterPQ table</t>
        </is>
      </c>
      <c r="B39" s="10">
        <f>InverterPQ!B16</f>
        <v/>
      </c>
      <c r="C39" s="4" t="inlineStr">
        <is>
          <t>kVAr</t>
        </is>
      </c>
    </row>
    <row r="40">
      <c r="A40" s="4" t="inlineStr">
        <is>
          <t>Q per inverter USED</t>
        </is>
      </c>
      <c r="B40" s="10">
        <f>IF(InverterPQ!B2="Yes",B39,IF(ISNUMBER(B38),B38,B37))</f>
        <v/>
      </c>
      <c r="C40" s="4" t="inlineStr">
        <is>
          <t>kVAr</t>
        </is>
      </c>
    </row>
    <row r="41">
      <c r="A41" s="4" t="inlineStr">
        <is>
          <t>Capacitor bank</t>
        </is>
      </c>
      <c r="B41" s="6" t="n">
        <v>0</v>
      </c>
      <c r="C41" s="4" t="inlineStr">
        <is>
          <t>MVAr</t>
        </is>
      </c>
    </row>
    <row r="42">
      <c r="A42" s="4" t="inlineStr">
        <is>
          <t>Q for inverters (after cap bank)</t>
        </is>
      </c>
      <c r="B42" s="8">
        <f>MAX(0,B22-B41)</f>
        <v/>
      </c>
      <c r="C42" s="4" t="inlineStr">
        <is>
          <t>MVAr</t>
        </is>
      </c>
    </row>
    <row r="43">
      <c r="A43" s="4" t="inlineStr">
        <is>
          <t>Manual inverter count (blank = auto)</t>
        </is>
      </c>
      <c r="B43" s="11" t="n"/>
      <c r="C43" s="4" t="inlineStr">
        <is>
          <t>nos.</t>
        </is>
      </c>
    </row>
    <row r="44">
      <c r="A44" s="4" t="inlineStr">
        <is>
          <t>Required inverters — reactive</t>
        </is>
      </c>
      <c r="B44" s="16">
        <f>IF(B40&gt;0,ROUNDUP(B42*1000/B40,0),0)</f>
        <v/>
      </c>
      <c r="C44" s="4" t="inlineStr">
        <is>
          <t>nos.</t>
        </is>
      </c>
    </row>
    <row r="45">
      <c r="A45" s="4" t="inlineStr">
        <is>
          <t>Required inverters — active delivery</t>
        </is>
      </c>
      <c r="B45" s="16">
        <f>ROUNDUP(B31*1000/B36,0)</f>
        <v/>
      </c>
      <c r="C45" s="4" t="inlineStr">
        <is>
          <t>nos.</t>
        </is>
      </c>
    </row>
    <row r="46">
      <c r="A46" s="12" t="inlineStr">
        <is>
          <t>INVERTERS IN DESIGN</t>
        </is>
      </c>
      <c r="B46" s="17">
        <f>IF(ISNUMBER(B43),B43,MAX(B44,B45))</f>
        <v/>
      </c>
      <c r="C46" s="4" t="inlineStr">
        <is>
          <t>nos.</t>
        </is>
      </c>
    </row>
    <row r="47">
      <c r="A47" s="12" t="inlineStr">
        <is>
          <t>Power delivered to grid (net of losses)</t>
        </is>
      </c>
      <c r="B47" s="13">
        <f>B46*B36/1000-B30</f>
        <v/>
      </c>
      <c r="C47" s="4" t="inlineStr">
        <is>
          <t>MW</t>
        </is>
      </c>
    </row>
    <row r="48">
      <c r="A48" s="12" t="inlineStr">
        <is>
          <t>Reactive power compensated</t>
        </is>
      </c>
      <c r="B48" s="13">
        <f>B46*B40/1000+B41</f>
        <v/>
      </c>
      <c r="C48" s="4" t="inlineStr">
        <is>
          <t>MVAr</t>
        </is>
      </c>
    </row>
    <row r="49">
      <c r="A49" s="4" t="inlineStr">
        <is>
          <t>Delivery check (≥ grid limit)</t>
        </is>
      </c>
      <c r="B49" s="18">
        <f>IF(B47&gt;=B7-0.001,"PASS","FAIL")</f>
        <v/>
      </c>
      <c r="C49" s="4" t="inlineStr"/>
    </row>
    <row r="50">
      <c r="A50" s="4" t="inlineStr">
        <is>
          <t>Reactive check (≥ total demand)</t>
        </is>
      </c>
      <c r="B50" s="18">
        <f>IF(B48&gt;=B22-0.001,"PASS","FAIL")</f>
        <v/>
      </c>
      <c r="C50" s="4" t="inlineStr"/>
    </row>
  </sheetData>
  <mergeCells count="6">
    <mergeCell ref="A33:C33"/>
    <mergeCell ref="A1:C1"/>
    <mergeCell ref="A6:C6"/>
    <mergeCell ref="A3:C3"/>
    <mergeCell ref="A12:C12"/>
    <mergeCell ref="A24:C24"/>
  </mergeCells>
  <conditionalFormatting sqref="B49:B50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9" customWidth="1" min="3" max="3"/>
    <col width="7" customWidth="1" min="4" max="4"/>
    <col width="8" customWidth="1" min="5" max="5"/>
    <col width="11" customWidth="1" min="6" max="6"/>
    <col width="7" customWidth="1" min="7" max="7"/>
    <col width="7" customWidth="1" min="8" max="8"/>
    <col width="9" customWidth="1" min="9" max="9"/>
    <col width="9" customWidth="1" min="10" max="10"/>
    <col width="7" customWidth="1" min="11" max="11"/>
    <col width="9" customWidth="1" min="12" max="12"/>
    <col width="9" customWidth="1" min="13" max="13"/>
    <col width="100" customWidth="1" min="14" max="14"/>
  </cols>
  <sheetData>
    <row r="1" ht="24" customHeight="1">
      <c r="A1" s="1" t="inlineStr">
        <is>
          <t>GRID CODE REQUIREMENT DATABASE</t>
        </is>
      </c>
    </row>
    <row r="3">
      <c r="A3" s="2" t="inlineStr">
        <is>
          <t>Selected grid code:</t>
        </is>
      </c>
      <c r="B3" s="5" t="inlineStr">
        <is>
          <t>United Kingdom - ENA G99 / GB Grid Code (Type C/D PPM)</t>
        </is>
      </c>
    </row>
    <row r="5">
      <c r="A5" s="9" t="inlineStr">
        <is>
          <t>Key</t>
        </is>
      </c>
      <c r="B5" s="9" t="inlineStr">
        <is>
          <t>Name</t>
        </is>
      </c>
      <c r="C5" s="9" t="inlineStr">
        <is>
          <t>Q/Pmax</t>
        </is>
      </c>
      <c r="D5" s="9" t="inlineStr">
        <is>
          <t>PF</t>
        </is>
      </c>
      <c r="E5" s="9" t="inlineStr">
        <is>
          <t>pMin %</t>
        </is>
      </c>
      <c r="F5" s="9" t="inlineStr">
        <is>
          <t>pFullLag %</t>
        </is>
      </c>
      <c r="G5" s="9" t="inlineStr">
        <is>
          <t>Relief</t>
        </is>
      </c>
      <c r="H5" s="9" t="inlineStr">
        <is>
          <t>Stub</t>
        </is>
      </c>
      <c r="I5" s="9" t="inlineStr">
        <is>
          <t>VFullLo</t>
        </is>
      </c>
      <c r="J5" s="9" t="inlineStr">
        <is>
          <t>VFullHi</t>
        </is>
      </c>
      <c r="K5" s="9" t="inlineStr">
        <is>
          <t>Asym</t>
        </is>
      </c>
      <c r="L5" s="9" t="inlineStr">
        <is>
          <t>VZeroLo</t>
        </is>
      </c>
      <c r="M5" s="9" t="inlineStr">
        <is>
          <t>VZeroHi</t>
        </is>
      </c>
      <c r="N5" s="9" t="inlineStr">
        <is>
          <t>Notes</t>
        </is>
      </c>
    </row>
    <row r="6">
      <c r="A6" s="4" t="inlineStr">
        <is>
          <t>gb_g99</t>
        </is>
      </c>
      <c r="B6" s="4" t="inlineStr">
        <is>
          <t>United Kingdom - ENA G99 / GB Grid Code (Type C/D PPM)</t>
        </is>
      </c>
      <c r="C6" s="19" t="n">
        <v>0.329</v>
      </c>
      <c r="D6" s="19" t="n">
        <v>0.95</v>
      </c>
      <c r="E6" s="19" t="n">
        <v>20</v>
      </c>
      <c r="F6" s="19" t="n">
        <v>20</v>
      </c>
      <c r="G6" s="19" t="n">
        <v>1</v>
      </c>
      <c r="H6" s="19" t="n">
        <v>0.05</v>
      </c>
      <c r="I6" s="19" t="n">
        <v>0.95</v>
      </c>
      <c r="J6" s="19" t="n">
        <v>1.05</v>
      </c>
      <c r="K6" s="19" t="n">
        <v>1</v>
      </c>
      <c r="L6" s="19" t="n">
        <v>0.9</v>
      </c>
      <c r="M6" s="19" t="n">
        <v>1.1</v>
      </c>
      <c r="N6" s="20" t="inlineStr">
        <is>
          <t>0.95 lead/lag at RC from 20% output (G99 13.5.5, Fig 13.13/13.14). Asymmetric V-Q; lead relief triangle 20-50% at DNO discretion; ±5% band below 20%.</t>
        </is>
      </c>
    </row>
    <row r="7">
      <c r="A7" s="4" t="inlineStr">
        <is>
          <t>de_4110</t>
        </is>
      </c>
      <c r="B7" s="4" t="inlineStr">
        <is>
          <t>Germany - VDE-AR-N 4110 (medium voltage)</t>
        </is>
      </c>
      <c r="C7" s="19" t="n">
        <v>0.329</v>
      </c>
      <c r="D7" s="19" t="n">
        <v>0.95</v>
      </c>
      <c r="E7" s="19" t="n">
        <v>20</v>
      </c>
      <c r="F7" s="19" t="n">
        <v>20</v>
      </c>
      <c r="G7" s="19" t="n">
        <v>0</v>
      </c>
      <c r="H7" s="19" t="n">
        <v>0</v>
      </c>
      <c r="I7" s="19" t="n">
        <v>0.95</v>
      </c>
      <c r="J7" s="19" t="n">
        <v>1.05</v>
      </c>
      <c r="K7" s="19" t="n">
        <v>0</v>
      </c>
      <c r="L7" s="19" t="n">
        <v>0.925</v>
      </c>
      <c r="M7" s="19" t="n">
        <v>1.075</v>
      </c>
      <c r="N7" s="20" t="inlineStr">
        <is>
          <t>cos φ 0.95 under/overexcited above 20% of installed capacity; control range 0.925-1.075 pu.</t>
        </is>
      </c>
    </row>
    <row r="8">
      <c r="A8" s="4" t="inlineStr">
        <is>
          <t>de_4120</t>
        </is>
      </c>
      <c r="B8" s="4" t="inlineStr">
        <is>
          <t>Germany - VDE-AR-N 4120 (high voltage)</t>
        </is>
      </c>
      <c r="C8" s="19" t="n">
        <v>0.411</v>
      </c>
      <c r="D8" s="19" t="n">
        <v>0.925</v>
      </c>
      <c r="E8" s="19" t="n">
        <v>20</v>
      </c>
      <c r="F8" s="19" t="n">
        <v>20</v>
      </c>
      <c r="G8" s="19" t="n">
        <v>0</v>
      </c>
      <c r="H8" s="19" t="n">
        <v>0</v>
      </c>
      <c r="I8" s="19" t="n">
        <v>0.95</v>
      </c>
      <c r="J8" s="19" t="n">
        <v>1.05</v>
      </c>
      <c r="K8" s="19" t="n">
        <v>0</v>
      </c>
      <c r="L8" s="19" t="n">
        <v>0.9</v>
      </c>
      <c r="M8" s="19" t="n">
        <v>1.1</v>
      </c>
      <c r="N8" s="20" t="inlineStr">
        <is>
          <t>cos φ 0.925 variant (three TSO-selectable variants exist).</t>
        </is>
      </c>
    </row>
    <row r="9">
      <c r="A9" s="4" t="inlineStr">
        <is>
          <t>us_1547b</t>
        </is>
      </c>
      <c r="B9" s="4" t="inlineStr">
        <is>
          <t>USA - IEEE 1547-2018 (Category B)</t>
        </is>
      </c>
      <c r="C9" s="19" t="n">
        <v>0.44</v>
      </c>
      <c r="D9" s="19" t="n">
        <v>0.9</v>
      </c>
      <c r="E9" s="19" t="n">
        <v>20</v>
      </c>
      <c r="F9" s="19" t="n">
        <v>20</v>
      </c>
      <c r="G9" s="19" t="n">
        <v>0</v>
      </c>
      <c r="H9" s="19" t="n">
        <v>0</v>
      </c>
      <c r="I9" s="19" t="n">
        <v>0.95</v>
      </c>
      <c r="J9" s="19" t="n">
        <v>1.05</v>
      </c>
      <c r="K9" s="19" t="n">
        <v>0</v>
      </c>
      <c r="L9" s="19" t="n">
        <v>0.9</v>
      </c>
      <c r="M9" s="19" t="n">
        <v>1.1</v>
      </c>
      <c r="N9" s="20" t="inlineStr">
        <is>
          <t>Inject/absorb 44% of nameplate kVA (~0.90 PF at rated); full capability above 20% of rated power.</t>
        </is>
      </c>
    </row>
    <row r="10">
      <c r="A10" s="4" t="inlineStr">
        <is>
          <t>au_ner</t>
        </is>
      </c>
      <c r="B10" s="4" t="inlineStr">
        <is>
          <t>Australia - NER S5.2.5.1 (Automatic access)</t>
        </is>
      </c>
      <c r="C10" s="19" t="n">
        <v>0.395</v>
      </c>
      <c r="D10" s="19" t="n">
        <v>0.93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0.95</v>
      </c>
      <c r="J10" s="19" t="n">
        <v>1.05</v>
      </c>
      <c r="K10" s="19" t="n">
        <v>0</v>
      </c>
      <c r="L10" s="19" t="n">
        <v>0.9</v>
      </c>
      <c r="M10" s="19" t="n">
        <v>1.1</v>
      </c>
      <c r="N10" s="20" t="inlineStr">
        <is>
          <t>±0.395 x rated active power at any output level.</t>
        </is>
      </c>
    </row>
    <row r="11">
      <c r="A11" s="4" t="inlineStr">
        <is>
          <t>eu_rfg</t>
        </is>
      </c>
      <c r="B11" s="4" t="inlineStr">
        <is>
          <t>EU - ENTSO-E RfG (typical Type C/D implementation)</t>
        </is>
      </c>
      <c r="C11" s="19" t="n">
        <v>0.329</v>
      </c>
      <c r="D11" s="19" t="n">
        <v>0.95</v>
      </c>
      <c r="E11" s="19" t="n">
        <v>20</v>
      </c>
      <c r="F11" s="19" t="n">
        <v>50</v>
      </c>
      <c r="G11" s="19" t="n">
        <v>0</v>
      </c>
      <c r="H11" s="19" t="n">
        <v>0</v>
      </c>
      <c r="I11" s="19" t="n">
        <v>0.95</v>
      </c>
      <c r="J11" s="19" t="n">
        <v>1.05</v>
      </c>
      <c r="K11" s="19" t="n">
        <v>0</v>
      </c>
      <c r="L11" s="19" t="n">
        <v>0.9</v>
      </c>
      <c r="M11" s="19" t="n">
        <v>1.1</v>
      </c>
      <c r="N11" s="20" t="inlineStr">
        <is>
          <t>Regulation 2016/631 leaves envelopes to each TSO - typical national choice shown.</t>
        </is>
      </c>
    </row>
    <row r="12">
      <c r="A12" s="4" t="inlineStr">
        <is>
          <t>pf95</t>
        </is>
      </c>
      <c r="B12" s="4" t="inlineStr">
        <is>
          <t>Generic - fixed PF 0.95 lead/lag</t>
        </is>
      </c>
      <c r="C12" s="19" t="n">
        <v>0.329</v>
      </c>
      <c r="D12" s="19" t="n">
        <v>0.95</v>
      </c>
      <c r="E12" s="19" t="n">
        <v>20</v>
      </c>
      <c r="F12" s="19" t="n">
        <v>20</v>
      </c>
      <c r="G12" s="19" t="n">
        <v>0</v>
      </c>
      <c r="H12" s="19" t="n">
        <v>0</v>
      </c>
      <c r="I12" s="19" t="n">
        <v>0.95</v>
      </c>
      <c r="J12" s="19" t="n">
        <v>1.05</v>
      </c>
      <c r="K12" s="19" t="n">
        <v>0</v>
      </c>
      <c r="L12" s="19" t="n">
        <v>0.9</v>
      </c>
      <c r="M12" s="19" t="n">
        <v>1.1</v>
      </c>
      <c r="N12" s="20" t="inlineStr">
        <is>
          <t>Fixed PF, full Q above 20% output.</t>
        </is>
      </c>
    </row>
    <row r="13">
      <c r="A13" s="4" t="inlineStr">
        <is>
          <t>pf90</t>
        </is>
      </c>
      <c r="B13" s="4" t="inlineStr">
        <is>
          <t>Generic - fixed PF 0.90 lead/lag</t>
        </is>
      </c>
      <c r="C13" s="19" t="n">
        <v>0.484</v>
      </c>
      <c r="D13" s="19" t="n">
        <v>0.9</v>
      </c>
      <c r="E13" s="19" t="n">
        <v>20</v>
      </c>
      <c r="F13" s="19" t="n">
        <v>20</v>
      </c>
      <c r="G13" s="19" t="n">
        <v>0</v>
      </c>
      <c r="H13" s="19" t="n">
        <v>0</v>
      </c>
      <c r="I13" s="19" t="n">
        <v>0.95</v>
      </c>
      <c r="J13" s="19" t="n">
        <v>1.05</v>
      </c>
      <c r="K13" s="19" t="n">
        <v>0</v>
      </c>
      <c r="L13" s="19" t="n">
        <v>0.9</v>
      </c>
      <c r="M13" s="19" t="n">
        <v>1.1</v>
      </c>
      <c r="N13" s="20" t="inlineStr">
        <is>
          <t>Fixed PF, full Q above 20% output.</t>
        </is>
      </c>
    </row>
    <row r="16">
      <c r="A16" s="2" t="inlineStr">
        <is>
          <t>Active parameters (looked up from the selected code):</t>
        </is>
      </c>
    </row>
    <row r="17">
      <c r="B17" s="21" t="inlineStr">
        <is>
          <t>Q/Pmax</t>
        </is>
      </c>
      <c r="C17" s="21" t="inlineStr">
        <is>
          <t>PF</t>
        </is>
      </c>
      <c r="D17" s="21" t="inlineStr">
        <is>
          <t>pMin %</t>
        </is>
      </c>
      <c r="E17" s="21" t="inlineStr">
        <is>
          <t>pFullLag %</t>
        </is>
      </c>
      <c r="F17" s="21" t="inlineStr">
        <is>
          <t>Relief</t>
        </is>
      </c>
      <c r="G17" s="21" t="inlineStr">
        <is>
          <t>Stub</t>
        </is>
      </c>
      <c r="H17" s="21" t="inlineStr">
        <is>
          <t>VFullLo</t>
        </is>
      </c>
      <c r="I17" s="21" t="inlineStr">
        <is>
          <t>VFullHi</t>
        </is>
      </c>
      <c r="J17" s="21" t="inlineStr">
        <is>
          <t>Asym</t>
        </is>
      </c>
      <c r="K17" s="21" t="inlineStr">
        <is>
          <t>VZeroLo</t>
        </is>
      </c>
      <c r="L17" s="21" t="inlineStr">
        <is>
          <t>VZeroHi</t>
        </is>
      </c>
    </row>
    <row r="18">
      <c r="B18" s="22">
        <f>INDEX($C$6:$C$13,MATCH($B$3,$B$6:$B$13,0))</f>
        <v/>
      </c>
      <c r="C18" s="22">
        <f>INDEX($D$6:$D$13,MATCH($B$3,$B$6:$B$13,0))</f>
        <v/>
      </c>
      <c r="D18" s="22">
        <f>INDEX($E$6:$E$13,MATCH($B$3,$B$6:$B$13,0))</f>
        <v/>
      </c>
      <c r="E18" s="22">
        <f>INDEX($F$6:$F$13,MATCH($B$3,$B$6:$B$13,0))</f>
        <v/>
      </c>
      <c r="F18" s="22">
        <f>INDEX($G$6:$G$13,MATCH($B$3,$B$6:$B$13,0))</f>
        <v/>
      </c>
      <c r="G18" s="22">
        <f>INDEX($H$6:$H$13,MATCH($B$3,$B$6:$B$13,0))</f>
        <v/>
      </c>
      <c r="H18" s="22">
        <f>INDEX($I$6:$I$13,MATCH($B$3,$B$6:$B$13,0))</f>
        <v/>
      </c>
      <c r="I18" s="22">
        <f>INDEX($J$6:$J$13,MATCH($B$3,$B$6:$B$13,0))</f>
        <v/>
      </c>
      <c r="J18" s="22">
        <f>INDEX($K$6:$K$13,MATCH($B$3,$B$6:$B$13,0))</f>
        <v/>
      </c>
      <c r="K18" s="22">
        <f>INDEX($L$6:$L$13,MATCH($B$3,$B$6:$B$13,0))</f>
        <v/>
      </c>
      <c r="L18" s="22">
        <f>INDEX($M$6:$M$13,MATCH($B$3,$B$6:$B$13,0))</f>
        <v/>
      </c>
    </row>
  </sheetData>
  <mergeCells count="2">
    <mergeCell ref="A1:F1"/>
    <mergeCell ref="B3:F3"/>
  </mergeCells>
  <conditionalFormatting sqref="A6:N13">
    <cfRule type="expression" priority="1" dxfId="2">
      <formula>$B6=$B$3</formula>
    </cfRule>
  </conditionalFormatting>
  <dataValidations count="1">
    <dataValidation sqref="B3" showDropDown="0" showInputMessage="0" showErrorMessage="0" allowBlank="0" type="list">
      <formula1>=$B$6:$B$13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 ht="24" customHeight="1">
      <c r="A1" s="1" t="inlineStr">
        <is>
          <t>INVERTER P-Q CAPABILITY TABLE</t>
        </is>
      </c>
    </row>
    <row r="2">
      <c r="A2" s="2" t="inlineStr">
        <is>
          <t>Use capability table for sizing?</t>
        </is>
      </c>
      <c r="B2" s="23" t="inlineStr">
        <is>
          <t>Yes</t>
        </is>
      </c>
    </row>
    <row r="3">
      <c r="A3" s="24" t="inlineStr">
        <is>
          <t>Max reactive power, % of rated kVA. Blank = N/A (operation not permitted). Rows ascending in voltage.</t>
        </is>
      </c>
    </row>
    <row r="4">
      <c r="A4" s="9" t="inlineStr">
        <is>
          <t>V (pu) \ P (pu)</t>
        </is>
      </c>
      <c r="B4" s="25" t="n">
        <v>0</v>
      </c>
      <c r="C4" s="25" t="n">
        <v>0.1</v>
      </c>
      <c r="D4" s="25" t="n">
        <v>0.2</v>
      </c>
      <c r="E4" s="25" t="n">
        <v>0.3</v>
      </c>
      <c r="F4" s="25" t="n">
        <v>0.4</v>
      </c>
      <c r="G4" s="25" t="n">
        <v>0.5</v>
      </c>
      <c r="H4" s="25" t="n">
        <v>0.6</v>
      </c>
      <c r="I4" s="25" t="n">
        <v>0.7</v>
      </c>
      <c r="J4" s="25" t="n">
        <v>0.8</v>
      </c>
      <c r="K4" s="25" t="n">
        <v>0.9</v>
      </c>
      <c r="L4" s="25" t="n">
        <v>1</v>
      </c>
    </row>
    <row r="5">
      <c r="A5" s="26" t="n">
        <v>0.85</v>
      </c>
      <c r="B5" s="23" t="n">
        <v>60</v>
      </c>
      <c r="C5" s="23" t="n">
        <v>60</v>
      </c>
      <c r="D5" s="23" t="n">
        <v>60</v>
      </c>
      <c r="E5" s="23" t="n">
        <v>60</v>
      </c>
      <c r="F5" s="23" t="n">
        <v>60</v>
      </c>
      <c r="G5" s="23" t="n">
        <v>60</v>
      </c>
      <c r="H5" s="23" t="n">
        <v>60</v>
      </c>
      <c r="I5" s="23" t="n">
        <v>48.2</v>
      </c>
      <c r="J5" s="23" t="n">
        <v>28.7</v>
      </c>
      <c r="K5" s="23" t="n"/>
      <c r="L5" s="23" t="n"/>
    </row>
    <row r="6">
      <c r="A6" s="26" t="n">
        <v>0.9</v>
      </c>
      <c r="B6" s="23" t="n">
        <v>60</v>
      </c>
      <c r="C6" s="23" t="n">
        <v>60</v>
      </c>
      <c r="D6" s="23" t="n">
        <v>60</v>
      </c>
      <c r="E6" s="23" t="n">
        <v>60</v>
      </c>
      <c r="F6" s="23" t="n">
        <v>60</v>
      </c>
      <c r="G6" s="23" t="n">
        <v>60</v>
      </c>
      <c r="H6" s="23" t="n">
        <v>60</v>
      </c>
      <c r="I6" s="23" t="n">
        <v>56.6</v>
      </c>
      <c r="J6" s="23" t="n">
        <v>41.2</v>
      </c>
      <c r="K6" s="23" t="n">
        <v>0</v>
      </c>
      <c r="L6" s="23" t="n"/>
    </row>
    <row r="7">
      <c r="A7" s="26" t="n">
        <v>0.95</v>
      </c>
      <c r="B7" s="23" t="n">
        <v>60</v>
      </c>
      <c r="C7" s="23" t="n">
        <v>60</v>
      </c>
      <c r="D7" s="23" t="n">
        <v>60</v>
      </c>
      <c r="E7" s="23" t="n">
        <v>60</v>
      </c>
      <c r="F7" s="23" t="n">
        <v>60</v>
      </c>
      <c r="G7" s="23" t="n">
        <v>60</v>
      </c>
      <c r="H7" s="23" t="n">
        <v>60</v>
      </c>
      <c r="I7" s="23" t="n">
        <v>60</v>
      </c>
      <c r="J7" s="23" t="n">
        <v>51.2</v>
      </c>
      <c r="K7" s="23" t="n">
        <v>30.4</v>
      </c>
      <c r="L7" s="23" t="n"/>
    </row>
    <row r="8">
      <c r="A8" s="26" t="n">
        <v>1</v>
      </c>
      <c r="B8" s="23" t="n">
        <v>60</v>
      </c>
      <c r="C8" s="23" t="n">
        <v>60</v>
      </c>
      <c r="D8" s="23" t="n">
        <v>60</v>
      </c>
      <c r="E8" s="23" t="n">
        <v>60</v>
      </c>
      <c r="F8" s="23" t="n">
        <v>60</v>
      </c>
      <c r="G8" s="23" t="n">
        <v>60</v>
      </c>
      <c r="H8" s="23" t="n">
        <v>60</v>
      </c>
      <c r="I8" s="23" t="n">
        <v>60</v>
      </c>
      <c r="J8" s="23" t="n">
        <v>60</v>
      </c>
      <c r="K8" s="23" t="n">
        <v>43.6</v>
      </c>
      <c r="L8" s="23" t="n">
        <v>0</v>
      </c>
    </row>
    <row r="9">
      <c r="A9" s="26" t="n">
        <v>1.05</v>
      </c>
      <c r="B9" s="23" t="n">
        <v>60</v>
      </c>
      <c r="C9" s="23" t="n">
        <v>60</v>
      </c>
      <c r="D9" s="23" t="n">
        <v>60</v>
      </c>
      <c r="E9" s="23" t="n">
        <v>60</v>
      </c>
      <c r="F9" s="23" t="n">
        <v>60</v>
      </c>
      <c r="G9" s="23" t="n">
        <v>60</v>
      </c>
      <c r="H9" s="23" t="n">
        <v>60</v>
      </c>
      <c r="I9" s="23" t="n">
        <v>60</v>
      </c>
      <c r="J9" s="23" t="n">
        <v>60</v>
      </c>
      <c r="K9" s="23" t="n">
        <v>43.6</v>
      </c>
      <c r="L9" s="23" t="n">
        <v>0</v>
      </c>
    </row>
    <row r="10">
      <c r="A10" s="26" t="n">
        <v>1.1</v>
      </c>
      <c r="B10" s="23" t="n">
        <v>60</v>
      </c>
      <c r="C10" s="23" t="n">
        <v>60</v>
      </c>
      <c r="D10" s="23" t="n">
        <v>60</v>
      </c>
      <c r="E10" s="23" t="n">
        <v>60</v>
      </c>
      <c r="F10" s="23" t="n">
        <v>60</v>
      </c>
      <c r="G10" s="23" t="n">
        <v>60</v>
      </c>
      <c r="H10" s="23" t="n">
        <v>60</v>
      </c>
      <c r="I10" s="23" t="n">
        <v>60</v>
      </c>
      <c r="J10" s="23" t="n">
        <v>60</v>
      </c>
      <c r="K10" s="23" t="n">
        <v>43.6</v>
      </c>
      <c r="L10" s="23" t="n">
        <v>0</v>
      </c>
    </row>
    <row r="13">
      <c r="A13" s="2" t="inlineStr">
        <is>
          <t>Sizing lookup (1.00 Vn row at PF loading):</t>
        </is>
      </c>
    </row>
    <row r="14">
      <c r="A14" t="inlineStr">
        <is>
          <t>Loading (= inverter PF)</t>
        </is>
      </c>
      <c r="B14" s="14">
        <f>Sizing!B35</f>
        <v/>
      </c>
    </row>
    <row r="15">
      <c r="A15" t="inlineStr">
        <is>
          <t>q% at 1.00 Vn</t>
        </is>
      </c>
      <c r="B15" s="8">
        <f>IF($B$14&gt;=1,IF(ISNUMBER(INDEX($B$8:$L$8,1,11)),INDEX($B$8:$L$8,1,11),0),IF(NOT(ISNUMBER(INDEX($B$8:$L$8,1,MATCH($B$14,$B$4:$L$4,1)))),0,IF($B$14=INDEX($B$4:$L$4,1,MATCH($B$14,$B$4:$L$4,1)),INDEX($B$8:$L$8,1,MATCH($B$14,$B$4:$L$4,1)),IF(NOT(ISNUMBER(INDEX($B$8:$L$8,1,MATCH($B$14,$B$4:$L$4,1)+1))),0,INDEX($B$8:$L$8,1,MATCH($B$14,$B$4:$L$4,1))+(INDEX($B$8:$L$8,1,MATCH($B$14,$B$4:$L$4,1)+1)-INDEX($B$8:$L$8,1,MATCH($B$14,$B$4:$L$4,1)))*($B$14-INDEX($B$4:$L$4,1,MATCH($B$14,$B$4:$L$4,1)))/(INDEX($B$4:$L$4,1,MATCH($B$14,$B$4:$L$4,1)+1)-INDEX($B$4:$L$4,1,MATCH($B$14,$B$4:$L$4,1)))))))</f>
        <v/>
      </c>
    </row>
    <row r="16">
      <c r="A16" t="inlineStr">
        <is>
          <t>q (kVAr) at 1.00 Vn</t>
        </is>
      </c>
      <c r="B16" s="10">
        <f>B15/100*Sizing!B34</f>
        <v/>
      </c>
    </row>
  </sheetData>
  <mergeCells count="1">
    <mergeCell ref="A1:L1"/>
  </mergeCells>
  <dataValidations count="1">
    <dataValidation sqref="B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hidden="1" width="5" customWidth="1" min="3" max="3"/>
    <col hidden="1" width="7" customWidth="1" min="4" max="4"/>
    <col hidden="1" width="7" customWidth="1" min="5" max="5"/>
    <col hidden="1" width="7" customWidth="1" min="6" max="6"/>
    <col hidden="1" width="7" customWidth="1" min="7" max="7"/>
    <col hidden="1" width="6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hidden="1" width="13" customWidth="1" min="16" max="16"/>
  </cols>
  <sheetData>
    <row r="1" ht="24" customHeight="1">
      <c r="A1" s="1" t="inlineStr">
        <is>
          <t>GRID CODE COMPLIANCE</t>
        </is>
      </c>
    </row>
    <row r="3" ht="18" customHeight="1">
      <c r="A3" s="3" t="inlineStr">
        <is>
          <t>OPERATING POINT (Registered Capacity dispatch)</t>
        </is>
      </c>
    </row>
    <row r="4">
      <c r="A4" s="2" t="inlineStr">
        <is>
          <t>Dispatch / inverter</t>
        </is>
      </c>
      <c r="I4" s="10">
        <f>Sizing!B31*1000/Sizing!B46</f>
        <v/>
      </c>
      <c r="J4" t="inlineStr">
        <is>
          <t>kW</t>
        </is>
      </c>
    </row>
    <row r="5">
      <c r="A5" s="2" t="inlineStr">
        <is>
          <t>Dispatch loading</t>
        </is>
      </c>
      <c r="I5" s="14">
        <f>I4/Sizing!B34</f>
        <v/>
      </c>
      <c r="J5" t="inlineStr">
        <is>
          <t>pu</t>
        </is>
      </c>
    </row>
    <row r="6">
      <c r="A6" s="2" t="inlineStr">
        <is>
          <t>Qmax required</t>
        </is>
      </c>
      <c r="I6" s="8">
        <f>GridCodes!B18*Sizing!B7</f>
        <v/>
      </c>
      <c r="J6" t="inlineStr">
        <is>
          <t>MVAr</t>
        </is>
      </c>
    </row>
    <row r="8" ht="18" customHeight="1">
      <c r="A8" s="3" t="inlineStr">
        <is>
          <t>CAPABILITY AT TABLE VOLTAGES (per-inverter q% at dispatch loading)</t>
        </is>
      </c>
    </row>
    <row r="9">
      <c r="A9" s="9" t="inlineStr">
        <is>
          <t>V (pu)</t>
        </is>
      </c>
      <c r="B9" s="9" t="inlineStr">
        <is>
          <t>q%/inv</t>
        </is>
      </c>
      <c r="M9" s="9" t="inlineStr">
        <is>
          <t>Req polygon Q</t>
        </is>
      </c>
      <c r="N9" s="9" t="inlineStr">
        <is>
          <t>V</t>
        </is>
      </c>
    </row>
    <row r="10">
      <c r="A10" s="27">
        <f>InverterPQ!A5</f>
        <v/>
      </c>
      <c r="B10" s="28">
        <f>IF($I$5&gt;=1,IF(ISNUMBER(INDEX(InverterPQ!$B$5:$L$5,1,11)),INDEX(InverterPQ!$B$5:$L$5,1,11),0),IF(NOT(ISNUMBER(INDEX(InverterPQ!$B$5:$L$5,1,MATCH($I$5,InverterPQ!$B$4:$L$4,1)))),0,IF($I$5=INDEX(InverterPQ!$B$4:$L$4,1,MATCH($I$5,InverterPQ!$B$4:$L$4,1)),INDEX(InverterPQ!$B$5:$L$5,1,MATCH($I$5,InverterPQ!$B$4:$L$4,1)),IF(NOT(ISNUMBER(INDEX(InverterPQ!$B$5:$L$5,1,MATCH($I$5,InverterPQ!$B$4:$L$4,1)+1))),0,INDEX(InverterPQ!$B$5:$L$5,1,MATCH($I$5,InverterPQ!$B$4:$L$4,1))+(INDEX(InverterPQ!$B$5:$L$5,1,MATCH($I$5,InverterPQ!$B$4:$L$4,1)+1)-INDEX(InverterPQ!$B$5:$L$5,1,MATCH($I$5,InverterPQ!$B$4:$L$4,1)))*($I$5-INDEX(InverterPQ!$B$4:$L$4,1,MATCH($I$5,InverterPQ!$B$4:$L$4,1)))/(INDEX(InverterPQ!$B$4:$L$4,1,MATCH($I$5,InverterPQ!$B$4:$L$4,1)+1)-INDEX(InverterPQ!$B$4:$L$4,1,MATCH($I$5,InverterPQ!$B$4:$L$4,1)))))))</f>
        <v/>
      </c>
      <c r="M10" s="8">
        <f>0</f>
        <v/>
      </c>
      <c r="N10" s="8">
        <f>IF(GridCodes!$J$18=1,GridCodes!$H$18,GridCodes!$K$18)</f>
        <v/>
      </c>
    </row>
    <row r="11">
      <c r="A11" s="27">
        <f>InverterPQ!A6</f>
        <v/>
      </c>
      <c r="B11" s="28">
        <f>IF($I$5&gt;=1,IF(ISNUMBER(INDEX(InverterPQ!$B$6:$L$6,1,11)),INDEX(InverterPQ!$B$6:$L$6,1,11),0),IF(NOT(ISNUMBER(INDEX(InverterPQ!$B$6:$L$6,1,MATCH($I$5,InverterPQ!$B$4:$L$4,1)))),0,IF($I$5=INDEX(InverterPQ!$B$4:$L$4,1,MATCH($I$5,InverterPQ!$B$4:$L$4,1)),INDEX(InverterPQ!$B$6:$L$6,1,MATCH($I$5,InverterPQ!$B$4:$L$4,1)),IF(NOT(ISNUMBER(INDEX(InverterPQ!$B$6:$L$6,1,MATCH($I$5,InverterPQ!$B$4:$L$4,1)+1))),0,INDEX(InverterPQ!$B$6:$L$6,1,MATCH($I$5,InverterPQ!$B$4:$L$4,1))+(INDEX(InverterPQ!$B$6:$L$6,1,MATCH($I$5,InverterPQ!$B$4:$L$4,1)+1)-INDEX(InverterPQ!$B$6:$L$6,1,MATCH($I$5,InverterPQ!$B$4:$L$4,1)))*($I$5-INDEX(InverterPQ!$B$4:$L$4,1,MATCH($I$5,InverterPQ!$B$4:$L$4,1)))/(INDEX(InverterPQ!$B$4:$L$4,1,MATCH($I$5,InverterPQ!$B$4:$L$4,1)+1)-INDEX(InverterPQ!$B$4:$L$4,1,MATCH($I$5,InverterPQ!$B$4:$L$4,1)))))))</f>
        <v/>
      </c>
      <c r="M11" s="8">
        <f>$I$6</f>
        <v/>
      </c>
      <c r="N11" s="8">
        <f>GridCodes!$H$18</f>
        <v/>
      </c>
    </row>
    <row r="12">
      <c r="A12" s="27">
        <f>InverterPQ!A7</f>
        <v/>
      </c>
      <c r="B12" s="28">
        <f>IF($I$5&gt;=1,IF(ISNUMBER(INDEX(InverterPQ!$B$7:$L$7,1,11)),INDEX(InverterPQ!$B$7:$L$7,1,11),0),IF(NOT(ISNUMBER(INDEX(InverterPQ!$B$7:$L$7,1,MATCH($I$5,InverterPQ!$B$4:$L$4,1)))),0,IF($I$5=INDEX(InverterPQ!$B$4:$L$4,1,MATCH($I$5,InverterPQ!$B$4:$L$4,1)),INDEX(InverterPQ!$B$7:$L$7,1,MATCH($I$5,InverterPQ!$B$4:$L$4,1)),IF(NOT(ISNUMBER(INDEX(InverterPQ!$B$7:$L$7,1,MATCH($I$5,InverterPQ!$B$4:$L$4,1)+1))),0,INDEX(InverterPQ!$B$7:$L$7,1,MATCH($I$5,InverterPQ!$B$4:$L$4,1))+(INDEX(InverterPQ!$B$7:$L$7,1,MATCH($I$5,InverterPQ!$B$4:$L$4,1)+1)-INDEX(InverterPQ!$B$7:$L$7,1,MATCH($I$5,InverterPQ!$B$4:$L$4,1)))*($I$5-INDEX(InverterPQ!$B$4:$L$4,1,MATCH($I$5,InverterPQ!$B$4:$L$4,1)))/(INDEX(InverterPQ!$B$4:$L$4,1,MATCH($I$5,InverterPQ!$B$4:$L$4,1)+1)-INDEX(InverterPQ!$B$4:$L$4,1,MATCH($I$5,InverterPQ!$B$4:$L$4,1)))))))</f>
        <v/>
      </c>
      <c r="M12" s="8">
        <f>$I$6</f>
        <v/>
      </c>
      <c r="N12" s="8">
        <f>IF(GridCodes!$J$18=1,1,GridCodes!$I$18)</f>
        <v/>
      </c>
    </row>
    <row r="13">
      <c r="A13" s="27">
        <f>InverterPQ!A8</f>
        <v/>
      </c>
      <c r="B13" s="28">
        <f>IF($I$5&gt;=1,IF(ISNUMBER(INDEX(InverterPQ!$B$8:$L$8,1,11)),INDEX(InverterPQ!$B$8:$L$8,1,11),0),IF(NOT(ISNUMBER(INDEX(InverterPQ!$B$8:$L$8,1,MATCH($I$5,InverterPQ!$B$4:$L$4,1)))),0,IF($I$5=INDEX(InverterPQ!$B$4:$L$4,1,MATCH($I$5,InverterPQ!$B$4:$L$4,1)),INDEX(InverterPQ!$B$8:$L$8,1,MATCH($I$5,InverterPQ!$B$4:$L$4,1)),IF(NOT(ISNUMBER(INDEX(InverterPQ!$B$8:$L$8,1,MATCH($I$5,InverterPQ!$B$4:$L$4,1)+1))),0,INDEX(InverterPQ!$B$8:$L$8,1,MATCH($I$5,InverterPQ!$B$4:$L$4,1))+(INDEX(InverterPQ!$B$8:$L$8,1,MATCH($I$5,InverterPQ!$B$4:$L$4,1)+1)-INDEX(InverterPQ!$B$8:$L$8,1,MATCH($I$5,InverterPQ!$B$4:$L$4,1)))*($I$5-INDEX(InverterPQ!$B$4:$L$4,1,MATCH($I$5,InverterPQ!$B$4:$L$4,1)))/(INDEX(InverterPQ!$B$4:$L$4,1,MATCH($I$5,InverterPQ!$B$4:$L$4,1)+1)-INDEX(InverterPQ!$B$4:$L$4,1,MATCH($I$5,InverterPQ!$B$4:$L$4,1)))))))</f>
        <v/>
      </c>
      <c r="M13" s="8">
        <f>0</f>
        <v/>
      </c>
      <c r="N13" s="8">
        <f>IF(GridCodes!$J$18=1,GridCodes!$I$18,GridCodes!$L$18)</f>
        <v/>
      </c>
    </row>
    <row r="14">
      <c r="A14" s="27">
        <f>InverterPQ!A9</f>
        <v/>
      </c>
      <c r="B14" s="28">
        <f>IF($I$5&gt;=1,IF(ISNUMBER(INDEX(InverterPQ!$B$9:$L$9,1,11)),INDEX(InverterPQ!$B$9:$L$9,1,11),0),IF(NOT(ISNUMBER(INDEX(InverterPQ!$B$9:$L$9,1,MATCH($I$5,InverterPQ!$B$4:$L$4,1)))),0,IF($I$5=INDEX(InverterPQ!$B$4:$L$4,1,MATCH($I$5,InverterPQ!$B$4:$L$4,1)),INDEX(InverterPQ!$B$9:$L$9,1,MATCH($I$5,InverterPQ!$B$4:$L$4,1)),IF(NOT(ISNUMBER(INDEX(InverterPQ!$B$9:$L$9,1,MATCH($I$5,InverterPQ!$B$4:$L$4,1)+1))),0,INDEX(InverterPQ!$B$9:$L$9,1,MATCH($I$5,InverterPQ!$B$4:$L$4,1))+(INDEX(InverterPQ!$B$9:$L$9,1,MATCH($I$5,InverterPQ!$B$4:$L$4,1)+1)-INDEX(InverterPQ!$B$9:$L$9,1,MATCH($I$5,InverterPQ!$B$4:$L$4,1)))*($I$5-INDEX(InverterPQ!$B$4:$L$4,1,MATCH($I$5,InverterPQ!$B$4:$L$4,1)))/(INDEX(InverterPQ!$B$4:$L$4,1,MATCH($I$5,InverterPQ!$B$4:$L$4,1)+1)-INDEX(InverterPQ!$B$4:$L$4,1,MATCH($I$5,InverterPQ!$B$4:$L$4,1)))))))</f>
        <v/>
      </c>
      <c r="M14" s="8">
        <f>-$I$6</f>
        <v/>
      </c>
      <c r="N14" s="8">
        <f>GridCodes!$I$18</f>
        <v/>
      </c>
    </row>
    <row r="15">
      <c r="A15" s="27">
        <f>InverterPQ!A10</f>
        <v/>
      </c>
      <c r="B15" s="28">
        <f>IF($I$5&gt;=1,IF(ISNUMBER(INDEX(InverterPQ!$B$10:$L$10,1,11)),INDEX(InverterPQ!$B$10:$L$10,1,11),0),IF(NOT(ISNUMBER(INDEX(InverterPQ!$B$10:$L$10,1,MATCH($I$5,InverterPQ!$B$4:$L$4,1)))),0,IF($I$5=INDEX(InverterPQ!$B$4:$L$4,1,MATCH($I$5,InverterPQ!$B$4:$L$4,1)),INDEX(InverterPQ!$B$10:$L$10,1,MATCH($I$5,InverterPQ!$B$4:$L$4,1)),IF(NOT(ISNUMBER(INDEX(InverterPQ!$B$10:$L$10,1,MATCH($I$5,InverterPQ!$B$4:$L$4,1)+1))),0,INDEX(InverterPQ!$B$10:$L$10,1,MATCH($I$5,InverterPQ!$B$4:$L$4,1))+(INDEX(InverterPQ!$B$10:$L$10,1,MATCH($I$5,InverterPQ!$B$4:$L$4,1)+1)-INDEX(InverterPQ!$B$10:$L$10,1,MATCH($I$5,InverterPQ!$B$4:$L$4,1)))*($I$5-INDEX(InverterPQ!$B$4:$L$4,1,MATCH($I$5,InverterPQ!$B$4:$L$4,1)))/(INDEX(InverterPQ!$B$4:$L$4,1,MATCH($I$5,InverterPQ!$B$4:$L$4,1)+1)-INDEX(InverterPQ!$B$4:$L$4,1,MATCH($I$5,InverterPQ!$B$4:$L$4,1)))))))</f>
        <v/>
      </c>
      <c r="M15" s="8">
        <f>-$I$6</f>
        <v/>
      </c>
      <c r="N15" s="8">
        <f>IF(GridCodes!$J$18=1,1,GridCodes!$H$18)</f>
        <v/>
      </c>
    </row>
    <row r="16">
      <c r="M16" s="8">
        <f>0</f>
        <v/>
      </c>
      <c r="N16" s="8">
        <f>IF(GridCodes!$J$18=1,GridCodes!$H$18,GridCodes!$K$18)</f>
        <v/>
      </c>
    </row>
    <row r="17" ht="18" customHeight="1">
      <c r="A17" s="3" t="inlineStr">
        <is>
          <t>V-Q AT REGISTERED CAPACITY — interpolated sweep and A/B/E/F corner points</t>
        </is>
      </c>
    </row>
    <row r="18">
      <c r="A18" s="9" t="inlineStr">
        <is>
          <t>Point</t>
        </is>
      </c>
      <c r="B18" s="9" t="inlineStr">
        <is>
          <t>V (pu)</t>
        </is>
      </c>
      <c r="C18" s="9" t="inlineStr">
        <is>
          <t>j</t>
        </is>
      </c>
      <c r="D18" s="9" t="inlineStr">
        <is>
          <t>VA</t>
        </is>
      </c>
      <c r="E18" s="9" t="inlineStr">
        <is>
          <t>VB</t>
        </is>
      </c>
      <c r="F18" s="9" t="inlineStr">
        <is>
          <t>qA</t>
        </is>
      </c>
      <c r="G18" s="9" t="inlineStr">
        <is>
          <t>qB</t>
        </is>
      </c>
      <c r="H18" s="9" t="inlineStr">
        <is>
          <t>t</t>
        </is>
      </c>
      <c r="I18" s="9" t="inlineStr">
        <is>
          <t>q%/inv</t>
        </is>
      </c>
      <c r="J18" s="9" t="inlineStr">
        <is>
          <t>Q prod (MVAr)</t>
        </is>
      </c>
      <c r="K18" s="9" t="inlineStr">
        <is>
          <t>Q abs (MVAr)</t>
        </is>
      </c>
      <c r="L18" s="9" t="inlineStr">
        <is>
          <t>Req lag (MVAr)</t>
        </is>
      </c>
      <c r="M18" s="9" t="inlineStr">
        <is>
          <t>Req lead (MVAr)</t>
        </is>
      </c>
      <c r="N18" s="9" t="inlineStr">
        <is>
          <t>-Q abs</t>
        </is>
      </c>
      <c r="O18" s="9" t="inlineStr">
        <is>
          <t>Status</t>
        </is>
      </c>
    </row>
    <row r="19">
      <c r="A19" t="inlineStr"/>
      <c r="B19" s="29" t="n">
        <v>0.85</v>
      </c>
      <c r="C19" s="30">
        <f>MAX(1,MIN(5,MATCH(B19,$A$10:$A$15,1)))</f>
        <v/>
      </c>
      <c r="D19" s="27">
        <f>INDEX($A$10:$A$15,C19)</f>
        <v/>
      </c>
      <c r="E19" s="27">
        <f>INDEX($A$10:$A$15,C19+1)</f>
        <v/>
      </c>
      <c r="F19" s="28">
        <f>INDEX($B$10:$B$15,C19)</f>
        <v/>
      </c>
      <c r="G19" s="28">
        <f>INDEX($B$10:$B$15,C19+1)</f>
        <v/>
      </c>
      <c r="H19" s="27">
        <f>MIN(1,MAX(0,(B19-D19)/(E19-D19)))</f>
        <v/>
      </c>
      <c r="I19" s="28">
        <f>IF(H19&lt;=0.0001,F19,IF(H19&gt;=0.9999,G19,IF(OR(F19&lt;=0,G19&lt;=0),0,F19+(G19-F19)*H19)))</f>
        <v/>
      </c>
      <c r="J19" s="27">
        <f>Sizing!$B$46*I19/100*Sizing!$B$34/1000+Sizing!$B$41-Sizing!$B$21</f>
        <v/>
      </c>
      <c r="K19" s="27">
        <f>Sizing!$B$46*I19/100*Sizing!$B$34/1000+Sizing!$B$21</f>
        <v/>
      </c>
      <c r="L19" s="27">
        <f>$I$6*(IF(GridCodes!$J$18=1,IF(OR(B19&lt;GridCodes!$H$18-0.0001,B19&gt;GridCodes!$I$18+0.0001),0,IF(B19&lt;=1,1,(GridCodes!$I$18-B19)/(GridCodes!$I$18-1))),IF(OR(B19&lt;=GridCodes!$K$18,B19&gt;=GridCodes!$L$18),0,IF(B19&lt;GridCodes!$H$18,(B19-GridCodes!$K$18)/(GridCodes!$H$18-GridCodes!$K$18),IF(B19&gt;GridCodes!$I$18,(GridCodes!$L$18-B19)/(GridCodes!$L$18-GridCodes!$I$18),1)))))</f>
        <v/>
      </c>
      <c r="M19" s="27">
        <f>$I$6*(IF(GridCodes!$J$18=1,IF(OR(B19&lt;GridCodes!$H$18-0.0001,B19&gt;GridCodes!$I$18+0.0001),0,IF(B19&gt;=1,1,(B19-GridCodes!$H$18)/(1-GridCodes!$H$18))),IF(OR(B19&lt;=GridCodes!$K$18,B19&gt;=GridCodes!$L$18),0,IF(B19&lt;GridCodes!$H$18,(B19-GridCodes!$K$18)/(GridCodes!$H$18-GridCodes!$K$18),IF(B19&gt;GridCodes!$I$18,(GridCodes!$L$18-B19)/(GridCodes!$L$18-GridCodes!$I$18),1)))))</f>
        <v/>
      </c>
      <c r="N19" s="27">
        <f>-K19</f>
        <v/>
      </c>
      <c r="O19" s="22">
        <f>IF(AND(MAX(0,J19)&gt;=L19-0.001,MAX(0,K19)&gt;=M19-0.001),"PASS","FAIL")</f>
        <v/>
      </c>
    </row>
    <row r="20">
      <c r="A20" t="inlineStr"/>
      <c r="B20" s="29" t="n">
        <v>0.8625</v>
      </c>
      <c r="C20" s="30">
        <f>MAX(1,MIN(5,MATCH(B20,$A$10:$A$15,1)))</f>
        <v/>
      </c>
      <c r="D20" s="27">
        <f>INDEX($A$10:$A$15,C20)</f>
        <v/>
      </c>
      <c r="E20" s="27">
        <f>INDEX($A$10:$A$15,C20+1)</f>
        <v/>
      </c>
      <c r="F20" s="28">
        <f>INDEX($B$10:$B$15,C20)</f>
        <v/>
      </c>
      <c r="G20" s="28">
        <f>INDEX($B$10:$B$15,C20+1)</f>
        <v/>
      </c>
      <c r="H20" s="27">
        <f>MIN(1,MAX(0,(B20-D20)/(E20-D20)))</f>
        <v/>
      </c>
      <c r="I20" s="28">
        <f>IF(H20&lt;=0.0001,F20,IF(H20&gt;=0.9999,G20,IF(OR(F20&lt;=0,G20&lt;=0),0,F20+(G20-F20)*H20)))</f>
        <v/>
      </c>
      <c r="J20" s="27">
        <f>Sizing!$B$46*I20/100*Sizing!$B$34/1000+Sizing!$B$41-Sizing!$B$21</f>
        <v/>
      </c>
      <c r="K20" s="27">
        <f>Sizing!$B$46*I20/100*Sizing!$B$34/1000+Sizing!$B$21</f>
        <v/>
      </c>
      <c r="L20" s="27">
        <f>$I$6*(IF(GridCodes!$J$18=1,IF(OR(B20&lt;GridCodes!$H$18-0.0001,B20&gt;GridCodes!$I$18+0.0001),0,IF(B20&lt;=1,1,(GridCodes!$I$18-B20)/(GridCodes!$I$18-1))),IF(OR(B20&lt;=GridCodes!$K$18,B20&gt;=GridCodes!$L$18),0,IF(B20&lt;GridCodes!$H$18,(B20-GridCodes!$K$18)/(GridCodes!$H$18-GridCodes!$K$18),IF(B20&gt;GridCodes!$I$18,(GridCodes!$L$18-B20)/(GridCodes!$L$18-GridCodes!$I$18),1)))))</f>
        <v/>
      </c>
      <c r="M20" s="27">
        <f>$I$6*(IF(GridCodes!$J$18=1,IF(OR(B20&lt;GridCodes!$H$18-0.0001,B20&gt;GridCodes!$I$18+0.0001),0,IF(B20&gt;=1,1,(B20-GridCodes!$H$18)/(1-GridCodes!$H$18))),IF(OR(B20&lt;=GridCodes!$K$18,B20&gt;=GridCodes!$L$18),0,IF(B20&lt;GridCodes!$H$18,(B20-GridCodes!$K$18)/(GridCodes!$H$18-GridCodes!$K$18),IF(B20&gt;GridCodes!$I$18,(GridCodes!$L$18-B20)/(GridCodes!$L$18-GridCodes!$I$18),1)))))</f>
        <v/>
      </c>
      <c r="N20" s="27">
        <f>-K20</f>
        <v/>
      </c>
      <c r="O20" s="22">
        <f>IF(AND(MAX(0,J20)&gt;=L20-0.001,MAX(0,K20)&gt;=M20-0.001),"PASS","FAIL")</f>
        <v/>
      </c>
    </row>
    <row r="21">
      <c r="A21" t="inlineStr"/>
      <c r="B21" s="29" t="n">
        <v>0.875</v>
      </c>
      <c r="C21" s="30">
        <f>MAX(1,MIN(5,MATCH(B21,$A$10:$A$15,1)))</f>
        <v/>
      </c>
      <c r="D21" s="27">
        <f>INDEX($A$10:$A$15,C21)</f>
        <v/>
      </c>
      <c r="E21" s="27">
        <f>INDEX($A$10:$A$15,C21+1)</f>
        <v/>
      </c>
      <c r="F21" s="28">
        <f>INDEX($B$10:$B$15,C21)</f>
        <v/>
      </c>
      <c r="G21" s="28">
        <f>INDEX($B$10:$B$15,C21+1)</f>
        <v/>
      </c>
      <c r="H21" s="27">
        <f>MIN(1,MAX(0,(B21-D21)/(E21-D21)))</f>
        <v/>
      </c>
      <c r="I21" s="28">
        <f>IF(H21&lt;=0.0001,F21,IF(H21&gt;=0.9999,G21,IF(OR(F21&lt;=0,G21&lt;=0),0,F21+(G21-F21)*H21)))</f>
        <v/>
      </c>
      <c r="J21" s="27">
        <f>Sizing!$B$46*I21/100*Sizing!$B$34/1000+Sizing!$B$41-Sizing!$B$21</f>
        <v/>
      </c>
      <c r="K21" s="27">
        <f>Sizing!$B$46*I21/100*Sizing!$B$34/1000+Sizing!$B$21</f>
        <v/>
      </c>
      <c r="L21" s="27">
        <f>$I$6*(IF(GridCodes!$J$18=1,IF(OR(B21&lt;GridCodes!$H$18-0.0001,B21&gt;GridCodes!$I$18+0.0001),0,IF(B21&lt;=1,1,(GridCodes!$I$18-B21)/(GridCodes!$I$18-1))),IF(OR(B21&lt;=GridCodes!$K$18,B21&gt;=GridCodes!$L$18),0,IF(B21&lt;GridCodes!$H$18,(B21-GridCodes!$K$18)/(GridCodes!$H$18-GridCodes!$K$18),IF(B21&gt;GridCodes!$I$18,(GridCodes!$L$18-B21)/(GridCodes!$L$18-GridCodes!$I$18),1)))))</f>
        <v/>
      </c>
      <c r="M21" s="27">
        <f>$I$6*(IF(GridCodes!$J$18=1,IF(OR(B21&lt;GridCodes!$H$18-0.0001,B21&gt;GridCodes!$I$18+0.0001),0,IF(B21&gt;=1,1,(B21-GridCodes!$H$18)/(1-GridCodes!$H$18))),IF(OR(B21&lt;=GridCodes!$K$18,B21&gt;=GridCodes!$L$18),0,IF(B21&lt;GridCodes!$H$18,(B21-GridCodes!$K$18)/(GridCodes!$H$18-GridCodes!$K$18),IF(B21&gt;GridCodes!$I$18,(GridCodes!$L$18-B21)/(GridCodes!$L$18-GridCodes!$I$18),1)))))</f>
        <v/>
      </c>
      <c r="N21" s="27">
        <f>-K21</f>
        <v/>
      </c>
      <c r="O21" s="22">
        <f>IF(AND(MAX(0,J21)&gt;=L21-0.001,MAX(0,K21)&gt;=M21-0.001),"PASS","FAIL")</f>
        <v/>
      </c>
    </row>
    <row r="22">
      <c r="A22" t="inlineStr"/>
      <c r="B22" s="29" t="n">
        <v>0.8875</v>
      </c>
      <c r="C22" s="30">
        <f>MAX(1,MIN(5,MATCH(B22,$A$10:$A$15,1)))</f>
        <v/>
      </c>
      <c r="D22" s="27">
        <f>INDEX($A$10:$A$15,C22)</f>
        <v/>
      </c>
      <c r="E22" s="27">
        <f>INDEX($A$10:$A$15,C22+1)</f>
        <v/>
      </c>
      <c r="F22" s="28">
        <f>INDEX($B$10:$B$15,C22)</f>
        <v/>
      </c>
      <c r="G22" s="28">
        <f>INDEX($B$10:$B$15,C22+1)</f>
        <v/>
      </c>
      <c r="H22" s="27">
        <f>MIN(1,MAX(0,(B22-D22)/(E22-D22)))</f>
        <v/>
      </c>
      <c r="I22" s="28">
        <f>IF(H22&lt;=0.0001,F22,IF(H22&gt;=0.9999,G22,IF(OR(F22&lt;=0,G22&lt;=0),0,F22+(G22-F22)*H22)))</f>
        <v/>
      </c>
      <c r="J22" s="27">
        <f>Sizing!$B$46*I22/100*Sizing!$B$34/1000+Sizing!$B$41-Sizing!$B$21</f>
        <v/>
      </c>
      <c r="K22" s="27">
        <f>Sizing!$B$46*I22/100*Sizing!$B$34/1000+Sizing!$B$21</f>
        <v/>
      </c>
      <c r="L22" s="27">
        <f>$I$6*(IF(GridCodes!$J$18=1,IF(OR(B22&lt;GridCodes!$H$18-0.0001,B22&gt;GridCodes!$I$18+0.0001),0,IF(B22&lt;=1,1,(GridCodes!$I$18-B22)/(GridCodes!$I$18-1))),IF(OR(B22&lt;=GridCodes!$K$18,B22&gt;=GridCodes!$L$18),0,IF(B22&lt;GridCodes!$H$18,(B22-GridCodes!$K$18)/(GridCodes!$H$18-GridCodes!$K$18),IF(B22&gt;GridCodes!$I$18,(GridCodes!$L$18-B22)/(GridCodes!$L$18-GridCodes!$I$18),1)))))</f>
        <v/>
      </c>
      <c r="M22" s="27">
        <f>$I$6*(IF(GridCodes!$J$18=1,IF(OR(B22&lt;GridCodes!$H$18-0.0001,B22&gt;GridCodes!$I$18+0.0001),0,IF(B22&gt;=1,1,(B22-GridCodes!$H$18)/(1-GridCodes!$H$18))),IF(OR(B22&lt;=GridCodes!$K$18,B22&gt;=GridCodes!$L$18),0,IF(B22&lt;GridCodes!$H$18,(B22-GridCodes!$K$18)/(GridCodes!$H$18-GridCodes!$K$18),IF(B22&gt;GridCodes!$I$18,(GridCodes!$L$18-B22)/(GridCodes!$L$18-GridCodes!$I$18),1)))))</f>
        <v/>
      </c>
      <c r="N22" s="27">
        <f>-K22</f>
        <v/>
      </c>
      <c r="O22" s="22">
        <f>IF(AND(MAX(0,J22)&gt;=L22-0.001,MAX(0,K22)&gt;=M22-0.001),"PASS","FAIL")</f>
        <v/>
      </c>
    </row>
    <row r="23">
      <c r="A23" t="inlineStr"/>
      <c r="B23" s="29" t="n">
        <v>0.9</v>
      </c>
      <c r="C23" s="30">
        <f>MAX(1,MIN(5,MATCH(B23,$A$10:$A$15,1)))</f>
        <v/>
      </c>
      <c r="D23" s="27">
        <f>INDEX($A$10:$A$15,C23)</f>
        <v/>
      </c>
      <c r="E23" s="27">
        <f>INDEX($A$10:$A$15,C23+1)</f>
        <v/>
      </c>
      <c r="F23" s="28">
        <f>INDEX($B$10:$B$15,C23)</f>
        <v/>
      </c>
      <c r="G23" s="28">
        <f>INDEX($B$10:$B$15,C23+1)</f>
        <v/>
      </c>
      <c r="H23" s="27">
        <f>MIN(1,MAX(0,(B23-D23)/(E23-D23)))</f>
        <v/>
      </c>
      <c r="I23" s="28">
        <f>IF(H23&lt;=0.0001,F23,IF(H23&gt;=0.9999,G23,IF(OR(F23&lt;=0,G23&lt;=0),0,F23+(G23-F23)*H23)))</f>
        <v/>
      </c>
      <c r="J23" s="27">
        <f>Sizing!$B$46*I23/100*Sizing!$B$34/1000+Sizing!$B$41-Sizing!$B$21</f>
        <v/>
      </c>
      <c r="K23" s="27">
        <f>Sizing!$B$46*I23/100*Sizing!$B$34/1000+Sizing!$B$21</f>
        <v/>
      </c>
      <c r="L23" s="27">
        <f>$I$6*(IF(GridCodes!$J$18=1,IF(OR(B23&lt;GridCodes!$H$18-0.0001,B23&gt;GridCodes!$I$18+0.0001),0,IF(B23&lt;=1,1,(GridCodes!$I$18-B23)/(GridCodes!$I$18-1))),IF(OR(B23&lt;=GridCodes!$K$18,B23&gt;=GridCodes!$L$18),0,IF(B23&lt;GridCodes!$H$18,(B23-GridCodes!$K$18)/(GridCodes!$H$18-GridCodes!$K$18),IF(B23&gt;GridCodes!$I$18,(GridCodes!$L$18-B23)/(GridCodes!$L$18-GridCodes!$I$18),1)))))</f>
        <v/>
      </c>
      <c r="M23" s="27">
        <f>$I$6*(IF(GridCodes!$J$18=1,IF(OR(B23&lt;GridCodes!$H$18-0.0001,B23&gt;GridCodes!$I$18+0.0001),0,IF(B23&gt;=1,1,(B23-GridCodes!$H$18)/(1-GridCodes!$H$18))),IF(OR(B23&lt;=GridCodes!$K$18,B23&gt;=GridCodes!$L$18),0,IF(B23&lt;GridCodes!$H$18,(B23-GridCodes!$K$18)/(GridCodes!$H$18-GridCodes!$K$18),IF(B23&gt;GridCodes!$I$18,(GridCodes!$L$18-B23)/(GridCodes!$L$18-GridCodes!$I$18),1)))))</f>
        <v/>
      </c>
      <c r="N23" s="27">
        <f>-K23</f>
        <v/>
      </c>
      <c r="O23" s="22">
        <f>IF(AND(MAX(0,J23)&gt;=L23-0.001,MAX(0,K23)&gt;=M23-0.001),"PASS","FAIL")</f>
        <v/>
      </c>
    </row>
    <row r="24">
      <c r="A24" t="inlineStr"/>
      <c r="B24" s="29" t="n">
        <v>0.9125</v>
      </c>
      <c r="C24" s="30">
        <f>MAX(1,MIN(5,MATCH(B24,$A$10:$A$15,1)))</f>
        <v/>
      </c>
      <c r="D24" s="27">
        <f>INDEX($A$10:$A$15,C24)</f>
        <v/>
      </c>
      <c r="E24" s="27">
        <f>INDEX($A$10:$A$15,C24+1)</f>
        <v/>
      </c>
      <c r="F24" s="28">
        <f>INDEX($B$10:$B$15,C24)</f>
        <v/>
      </c>
      <c r="G24" s="28">
        <f>INDEX($B$10:$B$15,C24+1)</f>
        <v/>
      </c>
      <c r="H24" s="27">
        <f>MIN(1,MAX(0,(B24-D24)/(E24-D24)))</f>
        <v/>
      </c>
      <c r="I24" s="28">
        <f>IF(H24&lt;=0.0001,F24,IF(H24&gt;=0.9999,G24,IF(OR(F24&lt;=0,G24&lt;=0),0,F24+(G24-F24)*H24)))</f>
        <v/>
      </c>
      <c r="J24" s="27">
        <f>Sizing!$B$46*I24/100*Sizing!$B$34/1000+Sizing!$B$41-Sizing!$B$21</f>
        <v/>
      </c>
      <c r="K24" s="27">
        <f>Sizing!$B$46*I24/100*Sizing!$B$34/1000+Sizing!$B$21</f>
        <v/>
      </c>
      <c r="L24" s="27">
        <f>$I$6*(IF(GridCodes!$J$18=1,IF(OR(B24&lt;GridCodes!$H$18-0.0001,B24&gt;GridCodes!$I$18+0.0001),0,IF(B24&lt;=1,1,(GridCodes!$I$18-B24)/(GridCodes!$I$18-1))),IF(OR(B24&lt;=GridCodes!$K$18,B24&gt;=GridCodes!$L$18),0,IF(B24&lt;GridCodes!$H$18,(B24-GridCodes!$K$18)/(GridCodes!$H$18-GridCodes!$K$18),IF(B24&gt;GridCodes!$I$18,(GridCodes!$L$18-B24)/(GridCodes!$L$18-GridCodes!$I$18),1)))))</f>
        <v/>
      </c>
      <c r="M24" s="27">
        <f>$I$6*(IF(GridCodes!$J$18=1,IF(OR(B24&lt;GridCodes!$H$18-0.0001,B24&gt;GridCodes!$I$18+0.0001),0,IF(B24&gt;=1,1,(B24-GridCodes!$H$18)/(1-GridCodes!$H$18))),IF(OR(B24&lt;=GridCodes!$K$18,B24&gt;=GridCodes!$L$18),0,IF(B24&lt;GridCodes!$H$18,(B24-GridCodes!$K$18)/(GridCodes!$H$18-GridCodes!$K$18),IF(B24&gt;GridCodes!$I$18,(GridCodes!$L$18-B24)/(GridCodes!$L$18-GridCodes!$I$18),1)))))</f>
        <v/>
      </c>
      <c r="N24" s="27">
        <f>-K24</f>
        <v/>
      </c>
      <c r="O24" s="22">
        <f>IF(AND(MAX(0,J24)&gt;=L24-0.001,MAX(0,K24)&gt;=M24-0.001),"PASS","FAIL")</f>
        <v/>
      </c>
    </row>
    <row r="25">
      <c r="A25" t="inlineStr"/>
      <c r="B25" s="29" t="n">
        <v>0.925</v>
      </c>
      <c r="C25" s="30">
        <f>MAX(1,MIN(5,MATCH(B25,$A$10:$A$15,1)))</f>
        <v/>
      </c>
      <c r="D25" s="27">
        <f>INDEX($A$10:$A$15,C25)</f>
        <v/>
      </c>
      <c r="E25" s="27">
        <f>INDEX($A$10:$A$15,C25+1)</f>
        <v/>
      </c>
      <c r="F25" s="28">
        <f>INDEX($B$10:$B$15,C25)</f>
        <v/>
      </c>
      <c r="G25" s="28">
        <f>INDEX($B$10:$B$15,C25+1)</f>
        <v/>
      </c>
      <c r="H25" s="27">
        <f>MIN(1,MAX(0,(B25-D25)/(E25-D25)))</f>
        <v/>
      </c>
      <c r="I25" s="28">
        <f>IF(H25&lt;=0.0001,F25,IF(H25&gt;=0.9999,G25,IF(OR(F25&lt;=0,G25&lt;=0),0,F25+(G25-F25)*H25)))</f>
        <v/>
      </c>
      <c r="J25" s="27">
        <f>Sizing!$B$46*I25/100*Sizing!$B$34/1000+Sizing!$B$41-Sizing!$B$21</f>
        <v/>
      </c>
      <c r="K25" s="27">
        <f>Sizing!$B$46*I25/100*Sizing!$B$34/1000+Sizing!$B$21</f>
        <v/>
      </c>
      <c r="L25" s="27">
        <f>$I$6*(IF(GridCodes!$J$18=1,IF(OR(B25&lt;GridCodes!$H$18-0.0001,B25&gt;GridCodes!$I$18+0.0001),0,IF(B25&lt;=1,1,(GridCodes!$I$18-B25)/(GridCodes!$I$18-1))),IF(OR(B25&lt;=GridCodes!$K$18,B25&gt;=GridCodes!$L$18),0,IF(B25&lt;GridCodes!$H$18,(B25-GridCodes!$K$18)/(GridCodes!$H$18-GridCodes!$K$18),IF(B25&gt;GridCodes!$I$18,(GridCodes!$L$18-B25)/(GridCodes!$L$18-GridCodes!$I$18),1)))))</f>
        <v/>
      </c>
      <c r="M25" s="27">
        <f>$I$6*(IF(GridCodes!$J$18=1,IF(OR(B25&lt;GridCodes!$H$18-0.0001,B25&gt;GridCodes!$I$18+0.0001),0,IF(B25&gt;=1,1,(B25-GridCodes!$H$18)/(1-GridCodes!$H$18))),IF(OR(B25&lt;=GridCodes!$K$18,B25&gt;=GridCodes!$L$18),0,IF(B25&lt;GridCodes!$H$18,(B25-GridCodes!$K$18)/(GridCodes!$H$18-GridCodes!$K$18),IF(B25&gt;GridCodes!$I$18,(GridCodes!$L$18-B25)/(GridCodes!$L$18-GridCodes!$I$18),1)))))</f>
        <v/>
      </c>
      <c r="N25" s="27">
        <f>-K25</f>
        <v/>
      </c>
      <c r="O25" s="22">
        <f>IF(AND(MAX(0,J25)&gt;=L25-0.001,MAX(0,K25)&gt;=M25-0.001),"PASS","FAIL")</f>
        <v/>
      </c>
    </row>
    <row r="26">
      <c r="A26" t="inlineStr"/>
      <c r="B26" s="29" t="n">
        <v>0.9375</v>
      </c>
      <c r="C26" s="30">
        <f>MAX(1,MIN(5,MATCH(B26,$A$10:$A$15,1)))</f>
        <v/>
      </c>
      <c r="D26" s="27">
        <f>INDEX($A$10:$A$15,C26)</f>
        <v/>
      </c>
      <c r="E26" s="27">
        <f>INDEX($A$10:$A$15,C26+1)</f>
        <v/>
      </c>
      <c r="F26" s="28">
        <f>INDEX($B$10:$B$15,C26)</f>
        <v/>
      </c>
      <c r="G26" s="28">
        <f>INDEX($B$10:$B$15,C26+1)</f>
        <v/>
      </c>
      <c r="H26" s="27">
        <f>MIN(1,MAX(0,(B26-D26)/(E26-D26)))</f>
        <v/>
      </c>
      <c r="I26" s="28">
        <f>IF(H26&lt;=0.0001,F26,IF(H26&gt;=0.9999,G26,IF(OR(F26&lt;=0,G26&lt;=0),0,F26+(G26-F26)*H26)))</f>
        <v/>
      </c>
      <c r="J26" s="27">
        <f>Sizing!$B$46*I26/100*Sizing!$B$34/1000+Sizing!$B$41-Sizing!$B$21</f>
        <v/>
      </c>
      <c r="K26" s="27">
        <f>Sizing!$B$46*I26/100*Sizing!$B$34/1000+Sizing!$B$21</f>
        <v/>
      </c>
      <c r="L26" s="27">
        <f>$I$6*(IF(GridCodes!$J$18=1,IF(OR(B26&lt;GridCodes!$H$18-0.0001,B26&gt;GridCodes!$I$18+0.0001),0,IF(B26&lt;=1,1,(GridCodes!$I$18-B26)/(GridCodes!$I$18-1))),IF(OR(B26&lt;=GridCodes!$K$18,B26&gt;=GridCodes!$L$18),0,IF(B26&lt;GridCodes!$H$18,(B26-GridCodes!$K$18)/(GridCodes!$H$18-GridCodes!$K$18),IF(B26&gt;GridCodes!$I$18,(GridCodes!$L$18-B26)/(GridCodes!$L$18-GridCodes!$I$18),1)))))</f>
        <v/>
      </c>
      <c r="M26" s="27">
        <f>$I$6*(IF(GridCodes!$J$18=1,IF(OR(B26&lt;GridCodes!$H$18-0.0001,B26&gt;GridCodes!$I$18+0.0001),0,IF(B26&gt;=1,1,(B26-GridCodes!$H$18)/(1-GridCodes!$H$18))),IF(OR(B26&lt;=GridCodes!$K$18,B26&gt;=GridCodes!$L$18),0,IF(B26&lt;GridCodes!$H$18,(B26-GridCodes!$K$18)/(GridCodes!$H$18-GridCodes!$K$18),IF(B26&gt;GridCodes!$I$18,(GridCodes!$L$18-B26)/(GridCodes!$L$18-GridCodes!$I$18),1)))))</f>
        <v/>
      </c>
      <c r="N26" s="27">
        <f>-K26</f>
        <v/>
      </c>
      <c r="O26" s="22">
        <f>IF(AND(MAX(0,J26)&gt;=L26-0.001,MAX(0,K26)&gt;=M26-0.001),"PASS","FAIL")</f>
        <v/>
      </c>
    </row>
    <row r="27">
      <c r="A27" t="inlineStr"/>
      <c r="B27" s="29" t="n">
        <v>0.95</v>
      </c>
      <c r="C27" s="30">
        <f>MAX(1,MIN(5,MATCH(B27,$A$10:$A$15,1)))</f>
        <v/>
      </c>
      <c r="D27" s="27">
        <f>INDEX($A$10:$A$15,C27)</f>
        <v/>
      </c>
      <c r="E27" s="27">
        <f>INDEX($A$10:$A$15,C27+1)</f>
        <v/>
      </c>
      <c r="F27" s="28">
        <f>INDEX($B$10:$B$15,C27)</f>
        <v/>
      </c>
      <c r="G27" s="28">
        <f>INDEX($B$10:$B$15,C27+1)</f>
        <v/>
      </c>
      <c r="H27" s="27">
        <f>MIN(1,MAX(0,(B27-D27)/(E27-D27)))</f>
        <v/>
      </c>
      <c r="I27" s="28">
        <f>IF(H27&lt;=0.0001,F27,IF(H27&gt;=0.9999,G27,IF(OR(F27&lt;=0,G27&lt;=0),0,F27+(G27-F27)*H27)))</f>
        <v/>
      </c>
      <c r="J27" s="27">
        <f>Sizing!$B$46*I27/100*Sizing!$B$34/1000+Sizing!$B$41-Sizing!$B$21</f>
        <v/>
      </c>
      <c r="K27" s="27">
        <f>Sizing!$B$46*I27/100*Sizing!$B$34/1000+Sizing!$B$21</f>
        <v/>
      </c>
      <c r="L27" s="27">
        <f>$I$6*(IF(GridCodes!$J$18=1,IF(OR(B27&lt;GridCodes!$H$18-0.0001,B27&gt;GridCodes!$I$18+0.0001),0,IF(B27&lt;=1,1,(GridCodes!$I$18-B27)/(GridCodes!$I$18-1))),IF(OR(B27&lt;=GridCodes!$K$18,B27&gt;=GridCodes!$L$18),0,IF(B27&lt;GridCodes!$H$18,(B27-GridCodes!$K$18)/(GridCodes!$H$18-GridCodes!$K$18),IF(B27&gt;GridCodes!$I$18,(GridCodes!$L$18-B27)/(GridCodes!$L$18-GridCodes!$I$18),1)))))</f>
        <v/>
      </c>
      <c r="M27" s="27">
        <f>$I$6*(IF(GridCodes!$J$18=1,IF(OR(B27&lt;GridCodes!$H$18-0.0001,B27&gt;GridCodes!$I$18+0.0001),0,IF(B27&gt;=1,1,(B27-GridCodes!$H$18)/(1-GridCodes!$H$18))),IF(OR(B27&lt;=GridCodes!$K$18,B27&gt;=GridCodes!$L$18),0,IF(B27&lt;GridCodes!$H$18,(B27-GridCodes!$K$18)/(GridCodes!$H$18-GridCodes!$K$18),IF(B27&gt;GridCodes!$I$18,(GridCodes!$L$18-B27)/(GridCodes!$L$18-GridCodes!$I$18),1)))))</f>
        <v/>
      </c>
      <c r="N27" s="27">
        <f>-K27</f>
        <v/>
      </c>
      <c r="O27" s="22">
        <f>IF(AND(MAX(0,J27)&gt;=L27-0.001,MAX(0,K27)&gt;=M27-0.001),"PASS","FAIL")</f>
        <v/>
      </c>
    </row>
    <row r="28">
      <c r="A28" t="inlineStr"/>
      <c r="B28" s="29" t="n">
        <v>0.9625</v>
      </c>
      <c r="C28" s="30">
        <f>MAX(1,MIN(5,MATCH(B28,$A$10:$A$15,1)))</f>
        <v/>
      </c>
      <c r="D28" s="27">
        <f>INDEX($A$10:$A$15,C28)</f>
        <v/>
      </c>
      <c r="E28" s="27">
        <f>INDEX($A$10:$A$15,C28+1)</f>
        <v/>
      </c>
      <c r="F28" s="28">
        <f>INDEX($B$10:$B$15,C28)</f>
        <v/>
      </c>
      <c r="G28" s="28">
        <f>INDEX($B$10:$B$15,C28+1)</f>
        <v/>
      </c>
      <c r="H28" s="27">
        <f>MIN(1,MAX(0,(B28-D28)/(E28-D28)))</f>
        <v/>
      </c>
      <c r="I28" s="28">
        <f>IF(H28&lt;=0.0001,F28,IF(H28&gt;=0.9999,G28,IF(OR(F28&lt;=0,G28&lt;=0),0,F28+(G28-F28)*H28)))</f>
        <v/>
      </c>
      <c r="J28" s="27">
        <f>Sizing!$B$46*I28/100*Sizing!$B$34/1000+Sizing!$B$41-Sizing!$B$21</f>
        <v/>
      </c>
      <c r="K28" s="27">
        <f>Sizing!$B$46*I28/100*Sizing!$B$34/1000+Sizing!$B$21</f>
        <v/>
      </c>
      <c r="L28" s="27">
        <f>$I$6*(IF(GridCodes!$J$18=1,IF(OR(B28&lt;GridCodes!$H$18-0.0001,B28&gt;GridCodes!$I$18+0.0001),0,IF(B28&lt;=1,1,(GridCodes!$I$18-B28)/(GridCodes!$I$18-1))),IF(OR(B28&lt;=GridCodes!$K$18,B28&gt;=GridCodes!$L$18),0,IF(B28&lt;GridCodes!$H$18,(B28-GridCodes!$K$18)/(GridCodes!$H$18-GridCodes!$K$18),IF(B28&gt;GridCodes!$I$18,(GridCodes!$L$18-B28)/(GridCodes!$L$18-GridCodes!$I$18),1)))))</f>
        <v/>
      </c>
      <c r="M28" s="27">
        <f>$I$6*(IF(GridCodes!$J$18=1,IF(OR(B28&lt;GridCodes!$H$18-0.0001,B28&gt;GridCodes!$I$18+0.0001),0,IF(B28&gt;=1,1,(B28-GridCodes!$H$18)/(1-GridCodes!$H$18))),IF(OR(B28&lt;=GridCodes!$K$18,B28&gt;=GridCodes!$L$18),0,IF(B28&lt;GridCodes!$H$18,(B28-GridCodes!$K$18)/(GridCodes!$H$18-GridCodes!$K$18),IF(B28&gt;GridCodes!$I$18,(GridCodes!$L$18-B28)/(GridCodes!$L$18-GridCodes!$I$18),1)))))</f>
        <v/>
      </c>
      <c r="N28" s="27">
        <f>-K28</f>
        <v/>
      </c>
      <c r="O28" s="22">
        <f>IF(AND(MAX(0,J28)&gt;=L28-0.001,MAX(0,K28)&gt;=M28-0.001),"PASS","FAIL")</f>
        <v/>
      </c>
    </row>
    <row r="29">
      <c r="A29" t="inlineStr"/>
      <c r="B29" s="29" t="n">
        <v>0.975</v>
      </c>
      <c r="C29" s="30">
        <f>MAX(1,MIN(5,MATCH(B29,$A$10:$A$15,1)))</f>
        <v/>
      </c>
      <c r="D29" s="27">
        <f>INDEX($A$10:$A$15,C29)</f>
        <v/>
      </c>
      <c r="E29" s="27">
        <f>INDEX($A$10:$A$15,C29+1)</f>
        <v/>
      </c>
      <c r="F29" s="28">
        <f>INDEX($B$10:$B$15,C29)</f>
        <v/>
      </c>
      <c r="G29" s="28">
        <f>INDEX($B$10:$B$15,C29+1)</f>
        <v/>
      </c>
      <c r="H29" s="27">
        <f>MIN(1,MAX(0,(B29-D29)/(E29-D29)))</f>
        <v/>
      </c>
      <c r="I29" s="28">
        <f>IF(H29&lt;=0.0001,F29,IF(H29&gt;=0.9999,G29,IF(OR(F29&lt;=0,G29&lt;=0),0,F29+(G29-F29)*H29)))</f>
        <v/>
      </c>
      <c r="J29" s="27">
        <f>Sizing!$B$46*I29/100*Sizing!$B$34/1000+Sizing!$B$41-Sizing!$B$21</f>
        <v/>
      </c>
      <c r="K29" s="27">
        <f>Sizing!$B$46*I29/100*Sizing!$B$34/1000+Sizing!$B$21</f>
        <v/>
      </c>
      <c r="L29" s="27">
        <f>$I$6*(IF(GridCodes!$J$18=1,IF(OR(B29&lt;GridCodes!$H$18-0.0001,B29&gt;GridCodes!$I$18+0.0001),0,IF(B29&lt;=1,1,(GridCodes!$I$18-B29)/(GridCodes!$I$18-1))),IF(OR(B29&lt;=GridCodes!$K$18,B29&gt;=GridCodes!$L$18),0,IF(B29&lt;GridCodes!$H$18,(B29-GridCodes!$K$18)/(GridCodes!$H$18-GridCodes!$K$18),IF(B29&gt;GridCodes!$I$18,(GridCodes!$L$18-B29)/(GridCodes!$L$18-GridCodes!$I$18),1)))))</f>
        <v/>
      </c>
      <c r="M29" s="27">
        <f>$I$6*(IF(GridCodes!$J$18=1,IF(OR(B29&lt;GridCodes!$H$18-0.0001,B29&gt;GridCodes!$I$18+0.0001),0,IF(B29&gt;=1,1,(B29-GridCodes!$H$18)/(1-GridCodes!$H$18))),IF(OR(B29&lt;=GridCodes!$K$18,B29&gt;=GridCodes!$L$18),0,IF(B29&lt;GridCodes!$H$18,(B29-GridCodes!$K$18)/(GridCodes!$H$18-GridCodes!$K$18),IF(B29&gt;GridCodes!$I$18,(GridCodes!$L$18-B29)/(GridCodes!$L$18-GridCodes!$I$18),1)))))</f>
        <v/>
      </c>
      <c r="N29" s="27">
        <f>-K29</f>
        <v/>
      </c>
      <c r="O29" s="22">
        <f>IF(AND(MAX(0,J29)&gt;=L29-0.001,MAX(0,K29)&gt;=M29-0.001),"PASS","FAIL")</f>
        <v/>
      </c>
    </row>
    <row r="30">
      <c r="A30" t="inlineStr"/>
      <c r="B30" s="29" t="n">
        <v>0.9875</v>
      </c>
      <c r="C30" s="30">
        <f>MAX(1,MIN(5,MATCH(B30,$A$10:$A$15,1)))</f>
        <v/>
      </c>
      <c r="D30" s="27">
        <f>INDEX($A$10:$A$15,C30)</f>
        <v/>
      </c>
      <c r="E30" s="27">
        <f>INDEX($A$10:$A$15,C30+1)</f>
        <v/>
      </c>
      <c r="F30" s="28">
        <f>INDEX($B$10:$B$15,C30)</f>
        <v/>
      </c>
      <c r="G30" s="28">
        <f>INDEX($B$10:$B$15,C30+1)</f>
        <v/>
      </c>
      <c r="H30" s="27">
        <f>MIN(1,MAX(0,(B30-D30)/(E30-D30)))</f>
        <v/>
      </c>
      <c r="I30" s="28">
        <f>IF(H30&lt;=0.0001,F30,IF(H30&gt;=0.9999,G30,IF(OR(F30&lt;=0,G30&lt;=0),0,F30+(G30-F30)*H30)))</f>
        <v/>
      </c>
      <c r="J30" s="27">
        <f>Sizing!$B$46*I30/100*Sizing!$B$34/1000+Sizing!$B$41-Sizing!$B$21</f>
        <v/>
      </c>
      <c r="K30" s="27">
        <f>Sizing!$B$46*I30/100*Sizing!$B$34/1000+Sizing!$B$21</f>
        <v/>
      </c>
      <c r="L30" s="27">
        <f>$I$6*(IF(GridCodes!$J$18=1,IF(OR(B30&lt;GridCodes!$H$18-0.0001,B30&gt;GridCodes!$I$18+0.0001),0,IF(B30&lt;=1,1,(GridCodes!$I$18-B30)/(GridCodes!$I$18-1))),IF(OR(B30&lt;=GridCodes!$K$18,B30&gt;=GridCodes!$L$18),0,IF(B30&lt;GridCodes!$H$18,(B30-GridCodes!$K$18)/(GridCodes!$H$18-GridCodes!$K$18),IF(B30&gt;GridCodes!$I$18,(GridCodes!$L$18-B30)/(GridCodes!$L$18-GridCodes!$I$18),1)))))</f>
        <v/>
      </c>
      <c r="M30" s="27">
        <f>$I$6*(IF(GridCodes!$J$18=1,IF(OR(B30&lt;GridCodes!$H$18-0.0001,B30&gt;GridCodes!$I$18+0.0001),0,IF(B30&gt;=1,1,(B30-GridCodes!$H$18)/(1-GridCodes!$H$18))),IF(OR(B30&lt;=GridCodes!$K$18,B30&gt;=GridCodes!$L$18),0,IF(B30&lt;GridCodes!$H$18,(B30-GridCodes!$K$18)/(GridCodes!$H$18-GridCodes!$K$18),IF(B30&gt;GridCodes!$I$18,(GridCodes!$L$18-B30)/(GridCodes!$L$18-GridCodes!$I$18),1)))))</f>
        <v/>
      </c>
      <c r="N30" s="27">
        <f>-K30</f>
        <v/>
      </c>
      <c r="O30" s="22">
        <f>IF(AND(MAX(0,J30)&gt;=L30-0.001,MAX(0,K30)&gt;=M30-0.001),"PASS","FAIL")</f>
        <v/>
      </c>
    </row>
    <row r="31">
      <c r="A31" t="inlineStr"/>
      <c r="B31" s="29" t="n">
        <v>1</v>
      </c>
      <c r="C31" s="30">
        <f>MAX(1,MIN(5,MATCH(B31,$A$10:$A$15,1)))</f>
        <v/>
      </c>
      <c r="D31" s="27">
        <f>INDEX($A$10:$A$15,C31)</f>
        <v/>
      </c>
      <c r="E31" s="27">
        <f>INDEX($A$10:$A$15,C31+1)</f>
        <v/>
      </c>
      <c r="F31" s="28">
        <f>INDEX($B$10:$B$15,C31)</f>
        <v/>
      </c>
      <c r="G31" s="28">
        <f>INDEX($B$10:$B$15,C31+1)</f>
        <v/>
      </c>
      <c r="H31" s="27">
        <f>MIN(1,MAX(0,(B31-D31)/(E31-D31)))</f>
        <v/>
      </c>
      <c r="I31" s="28">
        <f>IF(H31&lt;=0.0001,F31,IF(H31&gt;=0.9999,G31,IF(OR(F31&lt;=0,G31&lt;=0),0,F31+(G31-F31)*H31)))</f>
        <v/>
      </c>
      <c r="J31" s="27">
        <f>Sizing!$B$46*I31/100*Sizing!$B$34/1000+Sizing!$B$41-Sizing!$B$21</f>
        <v/>
      </c>
      <c r="K31" s="27">
        <f>Sizing!$B$46*I31/100*Sizing!$B$34/1000+Sizing!$B$21</f>
        <v/>
      </c>
      <c r="L31" s="27">
        <f>$I$6*(IF(GridCodes!$J$18=1,IF(OR(B31&lt;GridCodes!$H$18-0.0001,B31&gt;GridCodes!$I$18+0.0001),0,IF(B31&lt;=1,1,(GridCodes!$I$18-B31)/(GridCodes!$I$18-1))),IF(OR(B31&lt;=GridCodes!$K$18,B31&gt;=GridCodes!$L$18),0,IF(B31&lt;GridCodes!$H$18,(B31-GridCodes!$K$18)/(GridCodes!$H$18-GridCodes!$K$18),IF(B31&gt;GridCodes!$I$18,(GridCodes!$L$18-B31)/(GridCodes!$L$18-GridCodes!$I$18),1)))))</f>
        <v/>
      </c>
      <c r="M31" s="27">
        <f>$I$6*(IF(GridCodes!$J$18=1,IF(OR(B31&lt;GridCodes!$H$18-0.0001,B31&gt;GridCodes!$I$18+0.0001),0,IF(B31&gt;=1,1,(B31-GridCodes!$H$18)/(1-GridCodes!$H$18))),IF(OR(B31&lt;=GridCodes!$K$18,B31&gt;=GridCodes!$L$18),0,IF(B31&lt;GridCodes!$H$18,(B31-GridCodes!$K$18)/(GridCodes!$H$18-GridCodes!$K$18),IF(B31&gt;GridCodes!$I$18,(GridCodes!$L$18-B31)/(GridCodes!$L$18-GridCodes!$I$18),1)))))</f>
        <v/>
      </c>
      <c r="N31" s="27">
        <f>-K31</f>
        <v/>
      </c>
      <c r="O31" s="22">
        <f>IF(AND(MAX(0,J31)&gt;=L31-0.001,MAX(0,K31)&gt;=M31-0.001),"PASS","FAIL")</f>
        <v/>
      </c>
    </row>
    <row r="32">
      <c r="A32" t="inlineStr"/>
      <c r="B32" s="29" t="n">
        <v>1.0125</v>
      </c>
      <c r="C32" s="30">
        <f>MAX(1,MIN(5,MATCH(B32,$A$10:$A$15,1)))</f>
        <v/>
      </c>
      <c r="D32" s="27">
        <f>INDEX($A$10:$A$15,C32)</f>
        <v/>
      </c>
      <c r="E32" s="27">
        <f>INDEX($A$10:$A$15,C32+1)</f>
        <v/>
      </c>
      <c r="F32" s="28">
        <f>INDEX($B$10:$B$15,C32)</f>
        <v/>
      </c>
      <c r="G32" s="28">
        <f>INDEX($B$10:$B$15,C32+1)</f>
        <v/>
      </c>
      <c r="H32" s="27">
        <f>MIN(1,MAX(0,(B32-D32)/(E32-D32)))</f>
        <v/>
      </c>
      <c r="I32" s="28">
        <f>IF(H32&lt;=0.0001,F32,IF(H32&gt;=0.9999,G32,IF(OR(F32&lt;=0,G32&lt;=0),0,F32+(G32-F32)*H32)))</f>
        <v/>
      </c>
      <c r="J32" s="27">
        <f>Sizing!$B$46*I32/100*Sizing!$B$34/1000+Sizing!$B$41-Sizing!$B$21</f>
        <v/>
      </c>
      <c r="K32" s="27">
        <f>Sizing!$B$46*I32/100*Sizing!$B$34/1000+Sizing!$B$21</f>
        <v/>
      </c>
      <c r="L32" s="27">
        <f>$I$6*(IF(GridCodes!$J$18=1,IF(OR(B32&lt;GridCodes!$H$18-0.0001,B32&gt;GridCodes!$I$18+0.0001),0,IF(B32&lt;=1,1,(GridCodes!$I$18-B32)/(GridCodes!$I$18-1))),IF(OR(B32&lt;=GridCodes!$K$18,B32&gt;=GridCodes!$L$18),0,IF(B32&lt;GridCodes!$H$18,(B32-GridCodes!$K$18)/(GridCodes!$H$18-GridCodes!$K$18),IF(B32&gt;GridCodes!$I$18,(GridCodes!$L$18-B32)/(GridCodes!$L$18-GridCodes!$I$18),1)))))</f>
        <v/>
      </c>
      <c r="M32" s="27">
        <f>$I$6*(IF(GridCodes!$J$18=1,IF(OR(B32&lt;GridCodes!$H$18-0.0001,B32&gt;GridCodes!$I$18+0.0001),0,IF(B32&gt;=1,1,(B32-GridCodes!$H$18)/(1-GridCodes!$H$18))),IF(OR(B32&lt;=GridCodes!$K$18,B32&gt;=GridCodes!$L$18),0,IF(B32&lt;GridCodes!$H$18,(B32-GridCodes!$K$18)/(GridCodes!$H$18-GridCodes!$K$18),IF(B32&gt;GridCodes!$I$18,(GridCodes!$L$18-B32)/(GridCodes!$L$18-GridCodes!$I$18),1)))))</f>
        <v/>
      </c>
      <c r="N32" s="27">
        <f>-K32</f>
        <v/>
      </c>
      <c r="O32" s="22">
        <f>IF(AND(MAX(0,J32)&gt;=L32-0.001,MAX(0,K32)&gt;=M32-0.001),"PASS","FAIL")</f>
        <v/>
      </c>
    </row>
    <row r="33">
      <c r="A33" t="inlineStr"/>
      <c r="B33" s="29" t="n">
        <v>1.025</v>
      </c>
      <c r="C33" s="30">
        <f>MAX(1,MIN(5,MATCH(B33,$A$10:$A$15,1)))</f>
        <v/>
      </c>
      <c r="D33" s="27">
        <f>INDEX($A$10:$A$15,C33)</f>
        <v/>
      </c>
      <c r="E33" s="27">
        <f>INDEX($A$10:$A$15,C33+1)</f>
        <v/>
      </c>
      <c r="F33" s="28">
        <f>INDEX($B$10:$B$15,C33)</f>
        <v/>
      </c>
      <c r="G33" s="28">
        <f>INDEX($B$10:$B$15,C33+1)</f>
        <v/>
      </c>
      <c r="H33" s="27">
        <f>MIN(1,MAX(0,(B33-D33)/(E33-D33)))</f>
        <v/>
      </c>
      <c r="I33" s="28">
        <f>IF(H33&lt;=0.0001,F33,IF(H33&gt;=0.9999,G33,IF(OR(F33&lt;=0,G33&lt;=0),0,F33+(G33-F33)*H33)))</f>
        <v/>
      </c>
      <c r="J33" s="27">
        <f>Sizing!$B$46*I33/100*Sizing!$B$34/1000+Sizing!$B$41-Sizing!$B$21</f>
        <v/>
      </c>
      <c r="K33" s="27">
        <f>Sizing!$B$46*I33/100*Sizing!$B$34/1000+Sizing!$B$21</f>
        <v/>
      </c>
      <c r="L33" s="27">
        <f>$I$6*(IF(GridCodes!$J$18=1,IF(OR(B33&lt;GridCodes!$H$18-0.0001,B33&gt;GridCodes!$I$18+0.0001),0,IF(B33&lt;=1,1,(GridCodes!$I$18-B33)/(GridCodes!$I$18-1))),IF(OR(B33&lt;=GridCodes!$K$18,B33&gt;=GridCodes!$L$18),0,IF(B33&lt;GridCodes!$H$18,(B33-GridCodes!$K$18)/(GridCodes!$H$18-GridCodes!$K$18),IF(B33&gt;GridCodes!$I$18,(GridCodes!$L$18-B33)/(GridCodes!$L$18-GridCodes!$I$18),1)))))</f>
        <v/>
      </c>
      <c r="M33" s="27">
        <f>$I$6*(IF(GridCodes!$J$18=1,IF(OR(B33&lt;GridCodes!$H$18-0.0001,B33&gt;GridCodes!$I$18+0.0001),0,IF(B33&gt;=1,1,(B33-GridCodes!$H$18)/(1-GridCodes!$H$18))),IF(OR(B33&lt;=GridCodes!$K$18,B33&gt;=GridCodes!$L$18),0,IF(B33&lt;GridCodes!$H$18,(B33-GridCodes!$K$18)/(GridCodes!$H$18-GridCodes!$K$18),IF(B33&gt;GridCodes!$I$18,(GridCodes!$L$18-B33)/(GridCodes!$L$18-GridCodes!$I$18),1)))))</f>
        <v/>
      </c>
      <c r="N33" s="27">
        <f>-K33</f>
        <v/>
      </c>
      <c r="O33" s="22">
        <f>IF(AND(MAX(0,J33)&gt;=L33-0.001,MAX(0,K33)&gt;=M33-0.001),"PASS","FAIL")</f>
        <v/>
      </c>
    </row>
    <row r="34">
      <c r="A34" t="inlineStr"/>
      <c r="B34" s="29" t="n">
        <v>1.0375</v>
      </c>
      <c r="C34" s="30">
        <f>MAX(1,MIN(5,MATCH(B34,$A$10:$A$15,1)))</f>
        <v/>
      </c>
      <c r="D34" s="27">
        <f>INDEX($A$10:$A$15,C34)</f>
        <v/>
      </c>
      <c r="E34" s="27">
        <f>INDEX($A$10:$A$15,C34+1)</f>
        <v/>
      </c>
      <c r="F34" s="28">
        <f>INDEX($B$10:$B$15,C34)</f>
        <v/>
      </c>
      <c r="G34" s="28">
        <f>INDEX($B$10:$B$15,C34+1)</f>
        <v/>
      </c>
      <c r="H34" s="27">
        <f>MIN(1,MAX(0,(B34-D34)/(E34-D34)))</f>
        <v/>
      </c>
      <c r="I34" s="28">
        <f>IF(H34&lt;=0.0001,F34,IF(H34&gt;=0.9999,G34,IF(OR(F34&lt;=0,G34&lt;=0),0,F34+(G34-F34)*H34)))</f>
        <v/>
      </c>
      <c r="J34" s="27">
        <f>Sizing!$B$46*I34/100*Sizing!$B$34/1000+Sizing!$B$41-Sizing!$B$21</f>
        <v/>
      </c>
      <c r="K34" s="27">
        <f>Sizing!$B$46*I34/100*Sizing!$B$34/1000+Sizing!$B$21</f>
        <v/>
      </c>
      <c r="L34" s="27">
        <f>$I$6*(IF(GridCodes!$J$18=1,IF(OR(B34&lt;GridCodes!$H$18-0.0001,B34&gt;GridCodes!$I$18+0.0001),0,IF(B34&lt;=1,1,(GridCodes!$I$18-B34)/(GridCodes!$I$18-1))),IF(OR(B34&lt;=GridCodes!$K$18,B34&gt;=GridCodes!$L$18),0,IF(B34&lt;GridCodes!$H$18,(B34-GridCodes!$K$18)/(GridCodes!$H$18-GridCodes!$K$18),IF(B34&gt;GridCodes!$I$18,(GridCodes!$L$18-B34)/(GridCodes!$L$18-GridCodes!$I$18),1)))))</f>
        <v/>
      </c>
      <c r="M34" s="27">
        <f>$I$6*(IF(GridCodes!$J$18=1,IF(OR(B34&lt;GridCodes!$H$18-0.0001,B34&gt;GridCodes!$I$18+0.0001),0,IF(B34&gt;=1,1,(B34-GridCodes!$H$18)/(1-GridCodes!$H$18))),IF(OR(B34&lt;=GridCodes!$K$18,B34&gt;=GridCodes!$L$18),0,IF(B34&lt;GridCodes!$H$18,(B34-GridCodes!$K$18)/(GridCodes!$H$18-GridCodes!$K$18),IF(B34&gt;GridCodes!$I$18,(GridCodes!$L$18-B34)/(GridCodes!$L$18-GridCodes!$I$18),1)))))</f>
        <v/>
      </c>
      <c r="N34" s="27">
        <f>-K34</f>
        <v/>
      </c>
      <c r="O34" s="22">
        <f>IF(AND(MAX(0,J34)&gt;=L34-0.001,MAX(0,K34)&gt;=M34-0.001),"PASS","FAIL")</f>
        <v/>
      </c>
    </row>
    <row r="35">
      <c r="A35" t="inlineStr"/>
      <c r="B35" s="29" t="n">
        <v>1.05</v>
      </c>
      <c r="C35" s="30">
        <f>MAX(1,MIN(5,MATCH(B35,$A$10:$A$15,1)))</f>
        <v/>
      </c>
      <c r="D35" s="27">
        <f>INDEX($A$10:$A$15,C35)</f>
        <v/>
      </c>
      <c r="E35" s="27">
        <f>INDEX($A$10:$A$15,C35+1)</f>
        <v/>
      </c>
      <c r="F35" s="28">
        <f>INDEX($B$10:$B$15,C35)</f>
        <v/>
      </c>
      <c r="G35" s="28">
        <f>INDEX($B$10:$B$15,C35+1)</f>
        <v/>
      </c>
      <c r="H35" s="27">
        <f>MIN(1,MAX(0,(B35-D35)/(E35-D35)))</f>
        <v/>
      </c>
      <c r="I35" s="28">
        <f>IF(H35&lt;=0.0001,F35,IF(H35&gt;=0.9999,G35,IF(OR(F35&lt;=0,G35&lt;=0),0,F35+(G35-F35)*H35)))</f>
        <v/>
      </c>
      <c r="J35" s="27">
        <f>Sizing!$B$46*I35/100*Sizing!$B$34/1000+Sizing!$B$41-Sizing!$B$21</f>
        <v/>
      </c>
      <c r="K35" s="27">
        <f>Sizing!$B$46*I35/100*Sizing!$B$34/1000+Sizing!$B$21</f>
        <v/>
      </c>
      <c r="L35" s="27">
        <f>$I$6*(IF(GridCodes!$J$18=1,IF(OR(B35&lt;GridCodes!$H$18-0.0001,B35&gt;GridCodes!$I$18+0.0001),0,IF(B35&lt;=1,1,(GridCodes!$I$18-B35)/(GridCodes!$I$18-1))),IF(OR(B35&lt;=GridCodes!$K$18,B35&gt;=GridCodes!$L$18),0,IF(B35&lt;GridCodes!$H$18,(B35-GridCodes!$K$18)/(GridCodes!$H$18-GridCodes!$K$18),IF(B35&gt;GridCodes!$I$18,(GridCodes!$L$18-B35)/(GridCodes!$L$18-GridCodes!$I$18),1)))))</f>
        <v/>
      </c>
      <c r="M35" s="27">
        <f>$I$6*(IF(GridCodes!$J$18=1,IF(OR(B35&lt;GridCodes!$H$18-0.0001,B35&gt;GridCodes!$I$18+0.0001),0,IF(B35&gt;=1,1,(B35-GridCodes!$H$18)/(1-GridCodes!$H$18))),IF(OR(B35&lt;=GridCodes!$K$18,B35&gt;=GridCodes!$L$18),0,IF(B35&lt;GridCodes!$H$18,(B35-GridCodes!$K$18)/(GridCodes!$H$18-GridCodes!$K$18),IF(B35&gt;GridCodes!$I$18,(GridCodes!$L$18-B35)/(GridCodes!$L$18-GridCodes!$I$18),1)))))</f>
        <v/>
      </c>
      <c r="N35" s="27">
        <f>-K35</f>
        <v/>
      </c>
      <c r="O35" s="22">
        <f>IF(AND(MAX(0,J35)&gt;=L35-0.001,MAX(0,K35)&gt;=M35-0.001),"PASS","FAIL")</f>
        <v/>
      </c>
    </row>
    <row r="36">
      <c r="A36" t="inlineStr"/>
      <c r="B36" s="29" t="n">
        <v>1.0625</v>
      </c>
      <c r="C36" s="30">
        <f>MAX(1,MIN(5,MATCH(B36,$A$10:$A$15,1)))</f>
        <v/>
      </c>
      <c r="D36" s="27">
        <f>INDEX($A$10:$A$15,C36)</f>
        <v/>
      </c>
      <c r="E36" s="27">
        <f>INDEX($A$10:$A$15,C36+1)</f>
        <v/>
      </c>
      <c r="F36" s="28">
        <f>INDEX($B$10:$B$15,C36)</f>
        <v/>
      </c>
      <c r="G36" s="28">
        <f>INDEX($B$10:$B$15,C36+1)</f>
        <v/>
      </c>
      <c r="H36" s="27">
        <f>MIN(1,MAX(0,(B36-D36)/(E36-D36)))</f>
        <v/>
      </c>
      <c r="I36" s="28">
        <f>IF(H36&lt;=0.0001,F36,IF(H36&gt;=0.9999,G36,IF(OR(F36&lt;=0,G36&lt;=0),0,F36+(G36-F36)*H36)))</f>
        <v/>
      </c>
      <c r="J36" s="27">
        <f>Sizing!$B$46*I36/100*Sizing!$B$34/1000+Sizing!$B$41-Sizing!$B$21</f>
        <v/>
      </c>
      <c r="K36" s="27">
        <f>Sizing!$B$46*I36/100*Sizing!$B$34/1000+Sizing!$B$21</f>
        <v/>
      </c>
      <c r="L36" s="27">
        <f>$I$6*(IF(GridCodes!$J$18=1,IF(OR(B36&lt;GridCodes!$H$18-0.0001,B36&gt;GridCodes!$I$18+0.0001),0,IF(B36&lt;=1,1,(GridCodes!$I$18-B36)/(GridCodes!$I$18-1))),IF(OR(B36&lt;=GridCodes!$K$18,B36&gt;=GridCodes!$L$18),0,IF(B36&lt;GridCodes!$H$18,(B36-GridCodes!$K$18)/(GridCodes!$H$18-GridCodes!$K$18),IF(B36&gt;GridCodes!$I$18,(GridCodes!$L$18-B36)/(GridCodes!$L$18-GridCodes!$I$18),1)))))</f>
        <v/>
      </c>
      <c r="M36" s="27">
        <f>$I$6*(IF(GridCodes!$J$18=1,IF(OR(B36&lt;GridCodes!$H$18-0.0001,B36&gt;GridCodes!$I$18+0.0001),0,IF(B36&gt;=1,1,(B36-GridCodes!$H$18)/(1-GridCodes!$H$18))),IF(OR(B36&lt;=GridCodes!$K$18,B36&gt;=GridCodes!$L$18),0,IF(B36&lt;GridCodes!$H$18,(B36-GridCodes!$K$18)/(GridCodes!$H$18-GridCodes!$K$18),IF(B36&gt;GridCodes!$I$18,(GridCodes!$L$18-B36)/(GridCodes!$L$18-GridCodes!$I$18),1)))))</f>
        <v/>
      </c>
      <c r="N36" s="27">
        <f>-K36</f>
        <v/>
      </c>
      <c r="O36" s="22">
        <f>IF(AND(MAX(0,J36)&gt;=L36-0.001,MAX(0,K36)&gt;=M36-0.001),"PASS","FAIL")</f>
        <v/>
      </c>
    </row>
    <row r="37">
      <c r="A37" t="inlineStr"/>
      <c r="B37" s="29" t="n">
        <v>1.075</v>
      </c>
      <c r="C37" s="30">
        <f>MAX(1,MIN(5,MATCH(B37,$A$10:$A$15,1)))</f>
        <v/>
      </c>
      <c r="D37" s="27">
        <f>INDEX($A$10:$A$15,C37)</f>
        <v/>
      </c>
      <c r="E37" s="27">
        <f>INDEX($A$10:$A$15,C37+1)</f>
        <v/>
      </c>
      <c r="F37" s="28">
        <f>INDEX($B$10:$B$15,C37)</f>
        <v/>
      </c>
      <c r="G37" s="28">
        <f>INDEX($B$10:$B$15,C37+1)</f>
        <v/>
      </c>
      <c r="H37" s="27">
        <f>MIN(1,MAX(0,(B37-D37)/(E37-D37)))</f>
        <v/>
      </c>
      <c r="I37" s="28">
        <f>IF(H37&lt;=0.0001,F37,IF(H37&gt;=0.9999,G37,IF(OR(F37&lt;=0,G37&lt;=0),0,F37+(G37-F37)*H37)))</f>
        <v/>
      </c>
      <c r="J37" s="27">
        <f>Sizing!$B$46*I37/100*Sizing!$B$34/1000+Sizing!$B$41-Sizing!$B$21</f>
        <v/>
      </c>
      <c r="K37" s="27">
        <f>Sizing!$B$46*I37/100*Sizing!$B$34/1000+Sizing!$B$21</f>
        <v/>
      </c>
      <c r="L37" s="27">
        <f>$I$6*(IF(GridCodes!$J$18=1,IF(OR(B37&lt;GridCodes!$H$18-0.0001,B37&gt;GridCodes!$I$18+0.0001),0,IF(B37&lt;=1,1,(GridCodes!$I$18-B37)/(GridCodes!$I$18-1))),IF(OR(B37&lt;=GridCodes!$K$18,B37&gt;=GridCodes!$L$18),0,IF(B37&lt;GridCodes!$H$18,(B37-GridCodes!$K$18)/(GridCodes!$H$18-GridCodes!$K$18),IF(B37&gt;GridCodes!$I$18,(GridCodes!$L$18-B37)/(GridCodes!$L$18-GridCodes!$I$18),1)))))</f>
        <v/>
      </c>
      <c r="M37" s="27">
        <f>$I$6*(IF(GridCodes!$J$18=1,IF(OR(B37&lt;GridCodes!$H$18-0.0001,B37&gt;GridCodes!$I$18+0.0001),0,IF(B37&gt;=1,1,(B37-GridCodes!$H$18)/(1-GridCodes!$H$18))),IF(OR(B37&lt;=GridCodes!$K$18,B37&gt;=GridCodes!$L$18),0,IF(B37&lt;GridCodes!$H$18,(B37-GridCodes!$K$18)/(GridCodes!$H$18-GridCodes!$K$18),IF(B37&gt;GridCodes!$I$18,(GridCodes!$L$18-B37)/(GridCodes!$L$18-GridCodes!$I$18),1)))))</f>
        <v/>
      </c>
      <c r="N37" s="27">
        <f>-K37</f>
        <v/>
      </c>
      <c r="O37" s="22">
        <f>IF(AND(MAX(0,J37)&gt;=L37-0.001,MAX(0,K37)&gt;=M37-0.001),"PASS","FAIL")</f>
        <v/>
      </c>
    </row>
    <row r="38">
      <c r="A38" t="inlineStr"/>
      <c r="B38" s="29" t="n">
        <v>1.0875</v>
      </c>
      <c r="C38" s="30">
        <f>MAX(1,MIN(5,MATCH(B38,$A$10:$A$15,1)))</f>
        <v/>
      </c>
      <c r="D38" s="27">
        <f>INDEX($A$10:$A$15,C38)</f>
        <v/>
      </c>
      <c r="E38" s="27">
        <f>INDEX($A$10:$A$15,C38+1)</f>
        <v/>
      </c>
      <c r="F38" s="28">
        <f>INDEX($B$10:$B$15,C38)</f>
        <v/>
      </c>
      <c r="G38" s="28">
        <f>INDEX($B$10:$B$15,C38+1)</f>
        <v/>
      </c>
      <c r="H38" s="27">
        <f>MIN(1,MAX(0,(B38-D38)/(E38-D38)))</f>
        <v/>
      </c>
      <c r="I38" s="28">
        <f>IF(H38&lt;=0.0001,F38,IF(H38&gt;=0.9999,G38,IF(OR(F38&lt;=0,G38&lt;=0),0,F38+(G38-F38)*H38)))</f>
        <v/>
      </c>
      <c r="J38" s="27">
        <f>Sizing!$B$46*I38/100*Sizing!$B$34/1000+Sizing!$B$41-Sizing!$B$21</f>
        <v/>
      </c>
      <c r="K38" s="27">
        <f>Sizing!$B$46*I38/100*Sizing!$B$34/1000+Sizing!$B$21</f>
        <v/>
      </c>
      <c r="L38" s="27">
        <f>$I$6*(IF(GridCodes!$J$18=1,IF(OR(B38&lt;GridCodes!$H$18-0.0001,B38&gt;GridCodes!$I$18+0.0001),0,IF(B38&lt;=1,1,(GridCodes!$I$18-B38)/(GridCodes!$I$18-1))),IF(OR(B38&lt;=GridCodes!$K$18,B38&gt;=GridCodes!$L$18),0,IF(B38&lt;GridCodes!$H$18,(B38-GridCodes!$K$18)/(GridCodes!$H$18-GridCodes!$K$18),IF(B38&gt;GridCodes!$I$18,(GridCodes!$L$18-B38)/(GridCodes!$L$18-GridCodes!$I$18),1)))))</f>
        <v/>
      </c>
      <c r="M38" s="27">
        <f>$I$6*(IF(GridCodes!$J$18=1,IF(OR(B38&lt;GridCodes!$H$18-0.0001,B38&gt;GridCodes!$I$18+0.0001),0,IF(B38&gt;=1,1,(B38-GridCodes!$H$18)/(1-GridCodes!$H$18))),IF(OR(B38&lt;=GridCodes!$K$18,B38&gt;=GridCodes!$L$18),0,IF(B38&lt;GridCodes!$H$18,(B38-GridCodes!$K$18)/(GridCodes!$H$18-GridCodes!$K$18),IF(B38&gt;GridCodes!$I$18,(GridCodes!$L$18-B38)/(GridCodes!$L$18-GridCodes!$I$18),1)))))</f>
        <v/>
      </c>
      <c r="N38" s="27">
        <f>-K38</f>
        <v/>
      </c>
      <c r="O38" s="22">
        <f>IF(AND(MAX(0,J38)&gt;=L38-0.001,MAX(0,K38)&gt;=M38-0.001),"PASS","FAIL")</f>
        <v/>
      </c>
    </row>
    <row r="39">
      <c r="A39" t="inlineStr"/>
      <c r="B39" s="29" t="n">
        <v>1.1</v>
      </c>
      <c r="C39" s="30">
        <f>MAX(1,MIN(5,MATCH(B39,$A$10:$A$15,1)))</f>
        <v/>
      </c>
      <c r="D39" s="27">
        <f>INDEX($A$10:$A$15,C39)</f>
        <v/>
      </c>
      <c r="E39" s="27">
        <f>INDEX($A$10:$A$15,C39+1)</f>
        <v/>
      </c>
      <c r="F39" s="28">
        <f>INDEX($B$10:$B$15,C39)</f>
        <v/>
      </c>
      <c r="G39" s="28">
        <f>INDEX($B$10:$B$15,C39+1)</f>
        <v/>
      </c>
      <c r="H39" s="27">
        <f>MIN(1,MAX(0,(B39-D39)/(E39-D39)))</f>
        <v/>
      </c>
      <c r="I39" s="28">
        <f>IF(H39&lt;=0.0001,F39,IF(H39&gt;=0.9999,G39,IF(OR(F39&lt;=0,G39&lt;=0),0,F39+(G39-F39)*H39)))</f>
        <v/>
      </c>
      <c r="J39" s="27">
        <f>Sizing!$B$46*I39/100*Sizing!$B$34/1000+Sizing!$B$41-Sizing!$B$21</f>
        <v/>
      </c>
      <c r="K39" s="27">
        <f>Sizing!$B$46*I39/100*Sizing!$B$34/1000+Sizing!$B$21</f>
        <v/>
      </c>
      <c r="L39" s="27">
        <f>$I$6*(IF(GridCodes!$J$18=1,IF(OR(B39&lt;GridCodes!$H$18-0.0001,B39&gt;GridCodes!$I$18+0.0001),0,IF(B39&lt;=1,1,(GridCodes!$I$18-B39)/(GridCodes!$I$18-1))),IF(OR(B39&lt;=GridCodes!$K$18,B39&gt;=GridCodes!$L$18),0,IF(B39&lt;GridCodes!$H$18,(B39-GridCodes!$K$18)/(GridCodes!$H$18-GridCodes!$K$18),IF(B39&gt;GridCodes!$I$18,(GridCodes!$L$18-B39)/(GridCodes!$L$18-GridCodes!$I$18),1)))))</f>
        <v/>
      </c>
      <c r="M39" s="27">
        <f>$I$6*(IF(GridCodes!$J$18=1,IF(OR(B39&lt;GridCodes!$H$18-0.0001,B39&gt;GridCodes!$I$18+0.0001),0,IF(B39&gt;=1,1,(B39-GridCodes!$H$18)/(1-GridCodes!$H$18))),IF(OR(B39&lt;=GridCodes!$K$18,B39&gt;=GridCodes!$L$18),0,IF(B39&lt;GridCodes!$H$18,(B39-GridCodes!$K$18)/(GridCodes!$H$18-GridCodes!$K$18),IF(B39&gt;GridCodes!$I$18,(GridCodes!$L$18-B39)/(GridCodes!$L$18-GridCodes!$I$18),1)))))</f>
        <v/>
      </c>
      <c r="N39" s="27">
        <f>-K39</f>
        <v/>
      </c>
      <c r="O39" s="22">
        <f>IF(AND(MAX(0,J39)&gt;=L39-0.001,MAX(0,K39)&gt;=M39-0.001),"PASS","FAIL")</f>
        <v/>
      </c>
    </row>
    <row r="40">
      <c r="A40" s="2" t="inlineStr">
        <is>
          <t>A</t>
        </is>
      </c>
      <c r="B40" s="29">
        <f>GridCodes!$I$18</f>
        <v/>
      </c>
      <c r="C40" s="30">
        <f>MAX(1,MIN(5,MATCH(B40,$A$10:$A$15,1)))</f>
        <v/>
      </c>
      <c r="D40" s="27">
        <f>INDEX($A$10:$A$15,C40)</f>
        <v/>
      </c>
      <c r="E40" s="27">
        <f>INDEX($A$10:$A$15,C40+1)</f>
        <v/>
      </c>
      <c r="F40" s="28">
        <f>INDEX($B$10:$B$15,C40)</f>
        <v/>
      </c>
      <c r="G40" s="28">
        <f>INDEX($B$10:$B$15,C40+1)</f>
        <v/>
      </c>
      <c r="H40" s="27">
        <f>MIN(1,MAX(0,(B40-D40)/(E40-D40)))</f>
        <v/>
      </c>
      <c r="I40" s="28">
        <f>IF(H40&lt;=0.0001,F40,IF(H40&gt;=0.9999,G40,IF(OR(F40&lt;=0,G40&lt;=0),0,F40+(G40-F40)*H40)))</f>
        <v/>
      </c>
      <c r="J40" s="27">
        <f>Sizing!$B$46*I40/100*Sizing!$B$34/1000+Sizing!$B$41-Sizing!$B$21</f>
        <v/>
      </c>
      <c r="K40" s="27">
        <f>Sizing!$B$46*I40/100*Sizing!$B$34/1000+Sizing!$B$21</f>
        <v/>
      </c>
      <c r="L40" s="27">
        <f>$I$6*(IF(GridCodes!$J$18=1,IF(OR(B40&lt;GridCodes!$H$18-0.0001,B40&gt;GridCodes!$I$18+0.0001),0,IF(B40&lt;=1,1,(GridCodes!$I$18-B40)/(GridCodes!$I$18-1))),IF(OR(B40&lt;=GridCodes!$K$18,B40&gt;=GridCodes!$L$18),0,IF(B40&lt;GridCodes!$H$18,(B40-GridCodes!$K$18)/(GridCodes!$H$18-GridCodes!$K$18),IF(B40&gt;GridCodes!$I$18,(GridCodes!$L$18-B40)/(GridCodes!$L$18-GridCodes!$I$18),1)))))</f>
        <v/>
      </c>
      <c r="M40" s="27">
        <f>$I$6*(IF(GridCodes!$J$18=1,IF(OR(B40&lt;GridCodes!$H$18-0.0001,B40&gt;GridCodes!$I$18+0.0001),0,IF(B40&gt;=1,1,(B40-GridCodes!$H$18)/(1-GridCodes!$H$18))),IF(OR(B40&lt;=GridCodes!$K$18,B40&gt;=GridCodes!$L$18),0,IF(B40&lt;GridCodes!$H$18,(B40-GridCodes!$K$18)/(GridCodes!$H$18-GridCodes!$K$18),IF(B40&gt;GridCodes!$I$18,(GridCodes!$L$18-B40)/(GridCodes!$L$18-GridCodes!$I$18),1)))))</f>
        <v/>
      </c>
      <c r="N40" s="27">
        <f>-K40</f>
        <v/>
      </c>
      <c r="O40" s="22">
        <f>IF(MAX(0,K40)&gt;=M40-0.001,"PASS","FAIL")</f>
        <v/>
      </c>
    </row>
    <row r="41">
      <c r="A41" s="2" t="inlineStr">
        <is>
          <t>B</t>
        </is>
      </c>
      <c r="B41" s="29">
        <f>IF(GridCodes!$J$18=1,1,GridCodes!$H$18)</f>
        <v/>
      </c>
      <c r="C41" s="30">
        <f>MAX(1,MIN(5,MATCH(B41,$A$10:$A$15,1)))</f>
        <v/>
      </c>
      <c r="D41" s="27">
        <f>INDEX($A$10:$A$15,C41)</f>
        <v/>
      </c>
      <c r="E41" s="27">
        <f>INDEX($A$10:$A$15,C41+1)</f>
        <v/>
      </c>
      <c r="F41" s="28">
        <f>INDEX($B$10:$B$15,C41)</f>
        <v/>
      </c>
      <c r="G41" s="28">
        <f>INDEX($B$10:$B$15,C41+1)</f>
        <v/>
      </c>
      <c r="H41" s="27">
        <f>MIN(1,MAX(0,(B41-D41)/(E41-D41)))</f>
        <v/>
      </c>
      <c r="I41" s="28">
        <f>IF(H41&lt;=0.0001,F41,IF(H41&gt;=0.9999,G41,IF(OR(F41&lt;=0,G41&lt;=0),0,F41+(G41-F41)*H41)))</f>
        <v/>
      </c>
      <c r="J41" s="27">
        <f>Sizing!$B$46*I41/100*Sizing!$B$34/1000+Sizing!$B$41-Sizing!$B$21</f>
        <v/>
      </c>
      <c r="K41" s="27">
        <f>Sizing!$B$46*I41/100*Sizing!$B$34/1000+Sizing!$B$21</f>
        <v/>
      </c>
      <c r="L41" s="27">
        <f>$I$6*(IF(GridCodes!$J$18=1,IF(OR(B41&lt;GridCodes!$H$18-0.0001,B41&gt;GridCodes!$I$18+0.0001),0,IF(B41&lt;=1,1,(GridCodes!$I$18-B41)/(GridCodes!$I$18-1))),IF(OR(B41&lt;=GridCodes!$K$18,B41&gt;=GridCodes!$L$18),0,IF(B41&lt;GridCodes!$H$18,(B41-GridCodes!$K$18)/(GridCodes!$H$18-GridCodes!$K$18),IF(B41&gt;GridCodes!$I$18,(GridCodes!$L$18-B41)/(GridCodes!$L$18-GridCodes!$I$18),1)))))</f>
        <v/>
      </c>
      <c r="M41" s="27">
        <f>$I$6*(IF(GridCodes!$J$18=1,IF(OR(B41&lt;GridCodes!$H$18-0.0001,B41&gt;GridCodes!$I$18+0.0001),0,IF(B41&gt;=1,1,(B41-GridCodes!$H$18)/(1-GridCodes!$H$18))),IF(OR(B41&lt;=GridCodes!$K$18,B41&gt;=GridCodes!$L$18),0,IF(B41&lt;GridCodes!$H$18,(B41-GridCodes!$K$18)/(GridCodes!$H$18-GridCodes!$K$18),IF(B41&gt;GridCodes!$I$18,(GridCodes!$L$18-B41)/(GridCodes!$L$18-GridCodes!$I$18),1)))))</f>
        <v/>
      </c>
      <c r="N41" s="27">
        <f>-K41</f>
        <v/>
      </c>
      <c r="O41" s="22">
        <f>IF(MAX(0,K41)&gt;=M41-0.001,"PASS","FAIL")</f>
        <v/>
      </c>
    </row>
    <row r="42">
      <c r="A42" s="2" t="inlineStr">
        <is>
          <t>E</t>
        </is>
      </c>
      <c r="B42" s="29">
        <f>GridCodes!$H$18</f>
        <v/>
      </c>
      <c r="C42" s="30">
        <f>MAX(1,MIN(5,MATCH(B42,$A$10:$A$15,1)))</f>
        <v/>
      </c>
      <c r="D42" s="27">
        <f>INDEX($A$10:$A$15,C42)</f>
        <v/>
      </c>
      <c r="E42" s="27">
        <f>INDEX($A$10:$A$15,C42+1)</f>
        <v/>
      </c>
      <c r="F42" s="28">
        <f>INDEX($B$10:$B$15,C42)</f>
        <v/>
      </c>
      <c r="G42" s="28">
        <f>INDEX($B$10:$B$15,C42+1)</f>
        <v/>
      </c>
      <c r="H42" s="27">
        <f>MIN(1,MAX(0,(B42-D42)/(E42-D42)))</f>
        <v/>
      </c>
      <c r="I42" s="28">
        <f>IF(H42&lt;=0.0001,F42,IF(H42&gt;=0.9999,G42,IF(OR(F42&lt;=0,G42&lt;=0),0,F42+(G42-F42)*H42)))</f>
        <v/>
      </c>
      <c r="J42" s="27">
        <f>Sizing!$B$46*I42/100*Sizing!$B$34/1000+Sizing!$B$41-Sizing!$B$21</f>
        <v/>
      </c>
      <c r="K42" s="27">
        <f>Sizing!$B$46*I42/100*Sizing!$B$34/1000+Sizing!$B$21</f>
        <v/>
      </c>
      <c r="L42" s="27">
        <f>$I$6*(IF(GridCodes!$J$18=1,IF(OR(B42&lt;GridCodes!$H$18-0.0001,B42&gt;GridCodes!$I$18+0.0001),0,IF(B42&lt;=1,1,(GridCodes!$I$18-B42)/(GridCodes!$I$18-1))),IF(OR(B42&lt;=GridCodes!$K$18,B42&gt;=GridCodes!$L$18),0,IF(B42&lt;GridCodes!$H$18,(B42-GridCodes!$K$18)/(GridCodes!$H$18-GridCodes!$K$18),IF(B42&gt;GridCodes!$I$18,(GridCodes!$L$18-B42)/(GridCodes!$L$18-GridCodes!$I$18),1)))))</f>
        <v/>
      </c>
      <c r="M42" s="27">
        <f>$I$6*(IF(GridCodes!$J$18=1,IF(OR(B42&lt;GridCodes!$H$18-0.0001,B42&gt;GridCodes!$I$18+0.0001),0,IF(B42&gt;=1,1,(B42-GridCodes!$H$18)/(1-GridCodes!$H$18))),IF(OR(B42&lt;=GridCodes!$K$18,B42&gt;=GridCodes!$L$18),0,IF(B42&lt;GridCodes!$H$18,(B42-GridCodes!$K$18)/(GridCodes!$H$18-GridCodes!$K$18),IF(B42&gt;GridCodes!$I$18,(GridCodes!$L$18-B42)/(GridCodes!$L$18-GridCodes!$I$18),1)))))</f>
        <v/>
      </c>
      <c r="N42" s="27">
        <f>-K42</f>
        <v/>
      </c>
      <c r="O42" s="22">
        <f>IF(MAX(0,J42)&gt;=L42-0.001,"PASS","FAIL")</f>
        <v/>
      </c>
    </row>
    <row r="43">
      <c r="A43" s="2" t="inlineStr">
        <is>
          <t>F</t>
        </is>
      </c>
      <c r="B43" s="29">
        <f>IF(GridCodes!$J$18=1,1,GridCodes!$I$18)</f>
        <v/>
      </c>
      <c r="C43" s="30">
        <f>MAX(1,MIN(5,MATCH(B43,$A$10:$A$15,1)))</f>
        <v/>
      </c>
      <c r="D43" s="27">
        <f>INDEX($A$10:$A$15,C43)</f>
        <v/>
      </c>
      <c r="E43" s="27">
        <f>INDEX($A$10:$A$15,C43+1)</f>
        <v/>
      </c>
      <c r="F43" s="28">
        <f>INDEX($B$10:$B$15,C43)</f>
        <v/>
      </c>
      <c r="G43" s="28">
        <f>INDEX($B$10:$B$15,C43+1)</f>
        <v/>
      </c>
      <c r="H43" s="27">
        <f>MIN(1,MAX(0,(B43-D43)/(E43-D43)))</f>
        <v/>
      </c>
      <c r="I43" s="28">
        <f>IF(H43&lt;=0.0001,F43,IF(H43&gt;=0.9999,G43,IF(OR(F43&lt;=0,G43&lt;=0),0,F43+(G43-F43)*H43)))</f>
        <v/>
      </c>
      <c r="J43" s="27">
        <f>Sizing!$B$46*I43/100*Sizing!$B$34/1000+Sizing!$B$41-Sizing!$B$21</f>
        <v/>
      </c>
      <c r="K43" s="27">
        <f>Sizing!$B$46*I43/100*Sizing!$B$34/1000+Sizing!$B$21</f>
        <v/>
      </c>
      <c r="L43" s="27">
        <f>$I$6*(IF(GridCodes!$J$18=1,IF(OR(B43&lt;GridCodes!$H$18-0.0001,B43&gt;GridCodes!$I$18+0.0001),0,IF(B43&lt;=1,1,(GridCodes!$I$18-B43)/(GridCodes!$I$18-1))),IF(OR(B43&lt;=GridCodes!$K$18,B43&gt;=GridCodes!$L$18),0,IF(B43&lt;GridCodes!$H$18,(B43-GridCodes!$K$18)/(GridCodes!$H$18-GridCodes!$K$18),IF(B43&gt;GridCodes!$I$18,(GridCodes!$L$18-B43)/(GridCodes!$L$18-GridCodes!$I$18),1)))))</f>
        <v/>
      </c>
      <c r="M43" s="27">
        <f>$I$6*(IF(GridCodes!$J$18=1,IF(OR(B43&lt;GridCodes!$H$18-0.0001,B43&gt;GridCodes!$I$18+0.0001),0,IF(B43&gt;=1,1,(B43-GridCodes!$H$18)/(1-GridCodes!$H$18))),IF(OR(B43&lt;=GridCodes!$K$18,B43&gt;=GridCodes!$L$18),0,IF(B43&lt;GridCodes!$H$18,(B43-GridCodes!$K$18)/(GridCodes!$H$18-GridCodes!$K$18),IF(B43&gt;GridCodes!$I$18,(GridCodes!$L$18-B43)/(GridCodes!$L$18-GridCodes!$I$18),1)))))</f>
        <v/>
      </c>
      <c r="N43" s="27">
        <f>-K43</f>
        <v/>
      </c>
      <c r="O43" s="22">
        <f>IF(MAX(0,J43)&gt;=L43-0.001,"PASS","FAIL")</f>
        <v/>
      </c>
    </row>
    <row r="45" ht="18" customHeight="1">
      <c r="A45" s="3" t="inlineStr">
        <is>
          <t>P-Q AT NOMINAL VOLTAGE (1.00 pu)</t>
        </is>
      </c>
    </row>
    <row r="46">
      <c r="A46" s="9" t="inlineStr">
        <is>
          <t>P (pu)</t>
        </is>
      </c>
      <c r="B46" s="9" t="inlineStr">
        <is>
          <t>P (MW)</t>
        </is>
      </c>
      <c r="C46" s="9" t="inlineStr">
        <is>
          <t>disp kW</t>
        </is>
      </c>
      <c r="D46" s="9" t="inlineStr">
        <is>
          <t>loading</t>
        </is>
      </c>
      <c r="E46" s="9" t="inlineStr"/>
      <c r="F46" s="9" t="inlineStr"/>
      <c r="G46" s="9" t="inlineStr"/>
      <c r="H46" s="9" t="inlineStr"/>
      <c r="I46" s="9" t="inlineStr">
        <is>
          <t>q%/inv</t>
        </is>
      </c>
      <c r="J46" s="9" t="inlineStr">
        <is>
          <t>Q prod (MVAr)</t>
        </is>
      </c>
      <c r="K46" s="9" t="inlineStr">
        <is>
          <t>Q abs (MVAr)</t>
        </is>
      </c>
      <c r="L46" s="9" t="inlineStr">
        <is>
          <t>Req lag (MVAr)</t>
        </is>
      </c>
      <c r="M46" s="9" t="inlineStr">
        <is>
          <t>Req lead (MVAr)</t>
        </is>
      </c>
      <c r="N46" s="9" t="inlineStr">
        <is>
          <t>-Q abs</t>
        </is>
      </c>
      <c r="O46" s="9" t="inlineStr">
        <is>
          <t>Status</t>
        </is>
      </c>
      <c r="P46" s="2" t="inlineStr">
        <is>
          <t>-Req lead</t>
        </is>
      </c>
    </row>
    <row r="47">
      <c r="A47" s="29" t="n">
        <v>0</v>
      </c>
      <c r="B47" s="28">
        <f>A47*Sizing!$B$7</f>
        <v/>
      </c>
      <c r="C47" s="28">
        <f>A47*Sizing!$B$31*1000/Sizing!$B$46</f>
        <v/>
      </c>
      <c r="D47" s="29">
        <f>C47/Sizing!$B$34</f>
        <v/>
      </c>
      <c r="I47" s="28">
        <f>IF($D$47&gt;=1,IF(ISNUMBER(INDEX(InverterPQ!$B$8:$L$8,1,11)),INDEX(InverterPQ!$B$8:$L$8,1,11),0),IF(NOT(ISNUMBER(INDEX(InverterPQ!$B$8:$L$8,1,MATCH($D$47,InverterPQ!$B$4:$L$4,1)))),0,IF($D$47=INDEX(InverterPQ!$B$4:$L$4,1,MATCH($D$47,InverterPQ!$B$4:$L$4,1)),INDEX(InverterPQ!$B$8:$L$8,1,MATCH($D$47,InverterPQ!$B$4:$L$4,1)),IF(NOT(ISNUMBER(INDEX(InverterPQ!$B$8:$L$8,1,MATCH($D$47,InverterPQ!$B$4:$L$4,1)+1))),0,INDEX(InverterPQ!$B$8:$L$8,1,MATCH($D$47,InverterPQ!$B$4:$L$4,1))+(INDEX(InverterPQ!$B$8:$L$8,1,MATCH($D$47,InverterPQ!$B$4:$L$4,1)+1)-INDEX(InverterPQ!$B$8:$L$8,1,MATCH($D$47,InverterPQ!$B$4:$L$4,1)))*($D$47-INDEX(InverterPQ!$B$4:$L$4,1,MATCH($D$47,InverterPQ!$B$4:$L$4,1)))/(INDEX(InverterPQ!$B$4:$L$4,1,MATCH($D$47,InverterPQ!$B$4:$L$4,1)+1)-INDEX(InverterPQ!$B$4:$L$4,1,MATCH($D$47,InverterPQ!$B$4:$L$4,1)))))))</f>
        <v/>
      </c>
      <c r="J47" s="27">
        <f>Sizing!$B$46*I47/100*Sizing!$B$34/1000+Sizing!$B$41-Sizing!$B$21</f>
        <v/>
      </c>
      <c r="K47" s="27">
        <f>Sizing!$B$46*I47/100*Sizing!$B$34/1000+Sizing!$B$21</f>
        <v/>
      </c>
      <c r="L47" s="27">
        <f>IF(A47&lt;GridCodes!$D$18/100-0.0001,0,$I$6*IF(GridCodes!$E$18&lt;=GridCodes!$D$18,1,MIN(1,(A47-GridCodes!$D$18/100)/(GridCodes!$E$18/100-GridCodes!$D$18/100))))</f>
        <v/>
      </c>
      <c r="M47" s="27">
        <f>IF(A47&lt;GridCodes!$D$18/100-0.0001,0,IF(GridCodes!$F$18=1,IF(A47&gt;=0.5,$I$6,$I$6*0.12/0.33+($I$6-$I$6*0.12/0.33)*(A47-GridCodes!$D$18/100)/(0.5-GridCodes!$D$18/100)),$I$6*IF(GridCodes!$E$18&lt;=GridCodes!$D$18,1,MIN(1,(A47-GridCodes!$D$18/100)/(GridCodes!$E$18/100-GridCodes!$D$18/100)))))</f>
        <v/>
      </c>
      <c r="N47" s="27">
        <f>-K47</f>
        <v/>
      </c>
      <c r="O47" s="22">
        <f>IF(AND(MAX(0,J47)&gt;=L47-0.001,MAX(0,K47)&gt;=M47-0.001),"PASS","FAIL")</f>
        <v/>
      </c>
      <c r="P47" s="8">
        <f>-M47</f>
        <v/>
      </c>
    </row>
    <row r="48">
      <c r="A48" s="29" t="n">
        <v>0.025</v>
      </c>
      <c r="B48" s="28">
        <f>A48*Sizing!$B$7</f>
        <v/>
      </c>
      <c r="C48" s="28">
        <f>A48*Sizing!$B$31*1000/Sizing!$B$46</f>
        <v/>
      </c>
      <c r="D48" s="29">
        <f>C48/Sizing!$B$34</f>
        <v/>
      </c>
      <c r="I48" s="28">
        <f>IF($D$48&gt;=1,IF(ISNUMBER(INDEX(InverterPQ!$B$8:$L$8,1,11)),INDEX(InverterPQ!$B$8:$L$8,1,11),0),IF(NOT(ISNUMBER(INDEX(InverterPQ!$B$8:$L$8,1,MATCH($D$48,InverterPQ!$B$4:$L$4,1)))),0,IF($D$48=INDEX(InverterPQ!$B$4:$L$4,1,MATCH($D$48,InverterPQ!$B$4:$L$4,1)),INDEX(InverterPQ!$B$8:$L$8,1,MATCH($D$48,InverterPQ!$B$4:$L$4,1)),IF(NOT(ISNUMBER(INDEX(InverterPQ!$B$8:$L$8,1,MATCH($D$48,InverterPQ!$B$4:$L$4,1)+1))),0,INDEX(InverterPQ!$B$8:$L$8,1,MATCH($D$48,InverterPQ!$B$4:$L$4,1))+(INDEX(InverterPQ!$B$8:$L$8,1,MATCH($D$48,InverterPQ!$B$4:$L$4,1)+1)-INDEX(InverterPQ!$B$8:$L$8,1,MATCH($D$48,InverterPQ!$B$4:$L$4,1)))*($D$48-INDEX(InverterPQ!$B$4:$L$4,1,MATCH($D$48,InverterPQ!$B$4:$L$4,1)))/(INDEX(InverterPQ!$B$4:$L$4,1,MATCH($D$48,InverterPQ!$B$4:$L$4,1)+1)-INDEX(InverterPQ!$B$4:$L$4,1,MATCH($D$48,InverterPQ!$B$4:$L$4,1)))))))</f>
        <v/>
      </c>
      <c r="J48" s="27">
        <f>Sizing!$B$46*I48/100*Sizing!$B$34/1000+Sizing!$B$41-Sizing!$B$21</f>
        <v/>
      </c>
      <c r="K48" s="27">
        <f>Sizing!$B$46*I48/100*Sizing!$B$34/1000+Sizing!$B$21</f>
        <v/>
      </c>
      <c r="L48" s="27">
        <f>IF(A48&lt;GridCodes!$D$18/100-0.0001,0,$I$6*IF(GridCodes!$E$18&lt;=GridCodes!$D$18,1,MIN(1,(A48-GridCodes!$D$18/100)/(GridCodes!$E$18/100-GridCodes!$D$18/100))))</f>
        <v/>
      </c>
      <c r="M48" s="27">
        <f>IF(A48&lt;GridCodes!$D$18/100-0.0001,0,IF(GridCodes!$F$18=1,IF(A48&gt;=0.5,$I$6,$I$6*0.12/0.33+($I$6-$I$6*0.12/0.33)*(A48-GridCodes!$D$18/100)/(0.5-GridCodes!$D$18/100)),$I$6*IF(GridCodes!$E$18&lt;=GridCodes!$D$18,1,MIN(1,(A48-GridCodes!$D$18/100)/(GridCodes!$E$18/100-GridCodes!$D$18/100)))))</f>
        <v/>
      </c>
      <c r="N48" s="27">
        <f>-K48</f>
        <v/>
      </c>
      <c r="O48" s="22">
        <f>IF(AND(MAX(0,J48)&gt;=L48-0.001,MAX(0,K48)&gt;=M48-0.001),"PASS","FAIL")</f>
        <v/>
      </c>
      <c r="P48" s="8">
        <f>-M48</f>
        <v/>
      </c>
    </row>
    <row r="49">
      <c r="A49" s="29" t="n">
        <v>0.05</v>
      </c>
      <c r="B49" s="28">
        <f>A49*Sizing!$B$7</f>
        <v/>
      </c>
      <c r="C49" s="28">
        <f>A49*Sizing!$B$31*1000/Sizing!$B$46</f>
        <v/>
      </c>
      <c r="D49" s="29">
        <f>C49/Sizing!$B$34</f>
        <v/>
      </c>
      <c r="I49" s="28">
        <f>IF($D$49&gt;=1,IF(ISNUMBER(INDEX(InverterPQ!$B$8:$L$8,1,11)),INDEX(InverterPQ!$B$8:$L$8,1,11),0),IF(NOT(ISNUMBER(INDEX(InverterPQ!$B$8:$L$8,1,MATCH($D$49,InverterPQ!$B$4:$L$4,1)))),0,IF($D$49=INDEX(InverterPQ!$B$4:$L$4,1,MATCH($D$49,InverterPQ!$B$4:$L$4,1)),INDEX(InverterPQ!$B$8:$L$8,1,MATCH($D$49,InverterPQ!$B$4:$L$4,1)),IF(NOT(ISNUMBER(INDEX(InverterPQ!$B$8:$L$8,1,MATCH($D$49,InverterPQ!$B$4:$L$4,1)+1))),0,INDEX(InverterPQ!$B$8:$L$8,1,MATCH($D$49,InverterPQ!$B$4:$L$4,1))+(INDEX(InverterPQ!$B$8:$L$8,1,MATCH($D$49,InverterPQ!$B$4:$L$4,1)+1)-INDEX(InverterPQ!$B$8:$L$8,1,MATCH($D$49,InverterPQ!$B$4:$L$4,1)))*($D$49-INDEX(InverterPQ!$B$4:$L$4,1,MATCH($D$49,InverterPQ!$B$4:$L$4,1)))/(INDEX(InverterPQ!$B$4:$L$4,1,MATCH($D$49,InverterPQ!$B$4:$L$4,1)+1)-INDEX(InverterPQ!$B$4:$L$4,1,MATCH($D$49,InverterPQ!$B$4:$L$4,1)))))))</f>
        <v/>
      </c>
      <c r="J49" s="27">
        <f>Sizing!$B$46*I49/100*Sizing!$B$34/1000+Sizing!$B$41-Sizing!$B$21</f>
        <v/>
      </c>
      <c r="K49" s="27">
        <f>Sizing!$B$46*I49/100*Sizing!$B$34/1000+Sizing!$B$21</f>
        <v/>
      </c>
      <c r="L49" s="27">
        <f>IF(A49&lt;GridCodes!$D$18/100-0.0001,0,$I$6*IF(GridCodes!$E$18&lt;=GridCodes!$D$18,1,MIN(1,(A49-GridCodes!$D$18/100)/(GridCodes!$E$18/100-GridCodes!$D$18/100))))</f>
        <v/>
      </c>
      <c r="M49" s="27">
        <f>IF(A49&lt;GridCodes!$D$18/100-0.0001,0,IF(GridCodes!$F$18=1,IF(A49&gt;=0.5,$I$6,$I$6*0.12/0.33+($I$6-$I$6*0.12/0.33)*(A49-GridCodes!$D$18/100)/(0.5-GridCodes!$D$18/100)),$I$6*IF(GridCodes!$E$18&lt;=GridCodes!$D$18,1,MIN(1,(A49-GridCodes!$D$18/100)/(GridCodes!$E$18/100-GridCodes!$D$18/100)))))</f>
        <v/>
      </c>
      <c r="N49" s="27">
        <f>-K49</f>
        <v/>
      </c>
      <c r="O49" s="22">
        <f>IF(AND(MAX(0,J49)&gt;=L49-0.001,MAX(0,K49)&gt;=M49-0.001),"PASS","FAIL")</f>
        <v/>
      </c>
      <c r="P49" s="8">
        <f>-M49</f>
        <v/>
      </c>
    </row>
    <row r="50">
      <c r="A50" s="29" t="n">
        <v>0.075</v>
      </c>
      <c r="B50" s="28">
        <f>A50*Sizing!$B$7</f>
        <v/>
      </c>
      <c r="C50" s="28">
        <f>A50*Sizing!$B$31*1000/Sizing!$B$46</f>
        <v/>
      </c>
      <c r="D50" s="29">
        <f>C50/Sizing!$B$34</f>
        <v/>
      </c>
      <c r="I50" s="28">
        <f>IF($D$50&gt;=1,IF(ISNUMBER(INDEX(InverterPQ!$B$8:$L$8,1,11)),INDEX(InverterPQ!$B$8:$L$8,1,11),0),IF(NOT(ISNUMBER(INDEX(InverterPQ!$B$8:$L$8,1,MATCH($D$50,InverterPQ!$B$4:$L$4,1)))),0,IF($D$50=INDEX(InverterPQ!$B$4:$L$4,1,MATCH($D$50,InverterPQ!$B$4:$L$4,1)),INDEX(InverterPQ!$B$8:$L$8,1,MATCH($D$50,InverterPQ!$B$4:$L$4,1)),IF(NOT(ISNUMBER(INDEX(InverterPQ!$B$8:$L$8,1,MATCH($D$50,InverterPQ!$B$4:$L$4,1)+1))),0,INDEX(InverterPQ!$B$8:$L$8,1,MATCH($D$50,InverterPQ!$B$4:$L$4,1))+(INDEX(InverterPQ!$B$8:$L$8,1,MATCH($D$50,InverterPQ!$B$4:$L$4,1)+1)-INDEX(InverterPQ!$B$8:$L$8,1,MATCH($D$50,InverterPQ!$B$4:$L$4,1)))*($D$50-INDEX(InverterPQ!$B$4:$L$4,1,MATCH($D$50,InverterPQ!$B$4:$L$4,1)))/(INDEX(InverterPQ!$B$4:$L$4,1,MATCH($D$50,InverterPQ!$B$4:$L$4,1)+1)-INDEX(InverterPQ!$B$4:$L$4,1,MATCH($D$50,InverterPQ!$B$4:$L$4,1)))))))</f>
        <v/>
      </c>
      <c r="J50" s="27">
        <f>Sizing!$B$46*I50/100*Sizing!$B$34/1000+Sizing!$B$41-Sizing!$B$21</f>
        <v/>
      </c>
      <c r="K50" s="27">
        <f>Sizing!$B$46*I50/100*Sizing!$B$34/1000+Sizing!$B$21</f>
        <v/>
      </c>
      <c r="L50" s="27">
        <f>IF(A50&lt;GridCodes!$D$18/100-0.0001,0,$I$6*IF(GridCodes!$E$18&lt;=GridCodes!$D$18,1,MIN(1,(A50-GridCodes!$D$18/100)/(GridCodes!$E$18/100-GridCodes!$D$18/100))))</f>
        <v/>
      </c>
      <c r="M50" s="27">
        <f>IF(A50&lt;GridCodes!$D$18/100-0.0001,0,IF(GridCodes!$F$18=1,IF(A50&gt;=0.5,$I$6,$I$6*0.12/0.33+($I$6-$I$6*0.12/0.33)*(A50-GridCodes!$D$18/100)/(0.5-GridCodes!$D$18/100)),$I$6*IF(GridCodes!$E$18&lt;=GridCodes!$D$18,1,MIN(1,(A50-GridCodes!$D$18/100)/(GridCodes!$E$18/100-GridCodes!$D$18/100)))))</f>
        <v/>
      </c>
      <c r="N50" s="27">
        <f>-K50</f>
        <v/>
      </c>
      <c r="O50" s="22">
        <f>IF(AND(MAX(0,J50)&gt;=L50-0.001,MAX(0,K50)&gt;=M50-0.001),"PASS","FAIL")</f>
        <v/>
      </c>
      <c r="P50" s="8">
        <f>-M50</f>
        <v/>
      </c>
    </row>
    <row r="51">
      <c r="A51" s="29" t="n">
        <v>0.1</v>
      </c>
      <c r="B51" s="28">
        <f>A51*Sizing!$B$7</f>
        <v/>
      </c>
      <c r="C51" s="28">
        <f>A51*Sizing!$B$31*1000/Sizing!$B$46</f>
        <v/>
      </c>
      <c r="D51" s="29">
        <f>C51/Sizing!$B$34</f>
        <v/>
      </c>
      <c r="I51" s="28">
        <f>IF($D$51&gt;=1,IF(ISNUMBER(INDEX(InverterPQ!$B$8:$L$8,1,11)),INDEX(InverterPQ!$B$8:$L$8,1,11),0),IF(NOT(ISNUMBER(INDEX(InverterPQ!$B$8:$L$8,1,MATCH($D$51,InverterPQ!$B$4:$L$4,1)))),0,IF($D$51=INDEX(InverterPQ!$B$4:$L$4,1,MATCH($D$51,InverterPQ!$B$4:$L$4,1)),INDEX(InverterPQ!$B$8:$L$8,1,MATCH($D$51,InverterPQ!$B$4:$L$4,1)),IF(NOT(ISNUMBER(INDEX(InverterPQ!$B$8:$L$8,1,MATCH($D$51,InverterPQ!$B$4:$L$4,1)+1))),0,INDEX(InverterPQ!$B$8:$L$8,1,MATCH($D$51,InverterPQ!$B$4:$L$4,1))+(INDEX(InverterPQ!$B$8:$L$8,1,MATCH($D$51,InverterPQ!$B$4:$L$4,1)+1)-INDEX(InverterPQ!$B$8:$L$8,1,MATCH($D$51,InverterPQ!$B$4:$L$4,1)))*($D$51-INDEX(InverterPQ!$B$4:$L$4,1,MATCH($D$51,InverterPQ!$B$4:$L$4,1)))/(INDEX(InverterPQ!$B$4:$L$4,1,MATCH($D$51,InverterPQ!$B$4:$L$4,1)+1)-INDEX(InverterPQ!$B$4:$L$4,1,MATCH($D$51,InverterPQ!$B$4:$L$4,1)))))))</f>
        <v/>
      </c>
      <c r="J51" s="27">
        <f>Sizing!$B$46*I51/100*Sizing!$B$34/1000+Sizing!$B$41-Sizing!$B$21</f>
        <v/>
      </c>
      <c r="K51" s="27">
        <f>Sizing!$B$46*I51/100*Sizing!$B$34/1000+Sizing!$B$21</f>
        <v/>
      </c>
      <c r="L51" s="27">
        <f>IF(A51&lt;GridCodes!$D$18/100-0.0001,0,$I$6*IF(GridCodes!$E$18&lt;=GridCodes!$D$18,1,MIN(1,(A51-GridCodes!$D$18/100)/(GridCodes!$E$18/100-GridCodes!$D$18/100))))</f>
        <v/>
      </c>
      <c r="M51" s="27">
        <f>IF(A51&lt;GridCodes!$D$18/100-0.0001,0,IF(GridCodes!$F$18=1,IF(A51&gt;=0.5,$I$6,$I$6*0.12/0.33+($I$6-$I$6*0.12/0.33)*(A51-GridCodes!$D$18/100)/(0.5-GridCodes!$D$18/100)),$I$6*IF(GridCodes!$E$18&lt;=GridCodes!$D$18,1,MIN(1,(A51-GridCodes!$D$18/100)/(GridCodes!$E$18/100-GridCodes!$D$18/100)))))</f>
        <v/>
      </c>
      <c r="N51" s="27">
        <f>-K51</f>
        <v/>
      </c>
      <c r="O51" s="22">
        <f>IF(AND(MAX(0,J51)&gt;=L51-0.001,MAX(0,K51)&gt;=M51-0.001),"PASS","FAIL")</f>
        <v/>
      </c>
      <c r="P51" s="8">
        <f>-M51</f>
        <v/>
      </c>
    </row>
    <row r="52">
      <c r="A52" s="29" t="n">
        <v>0.125</v>
      </c>
      <c r="B52" s="28">
        <f>A52*Sizing!$B$7</f>
        <v/>
      </c>
      <c r="C52" s="28">
        <f>A52*Sizing!$B$31*1000/Sizing!$B$46</f>
        <v/>
      </c>
      <c r="D52" s="29">
        <f>C52/Sizing!$B$34</f>
        <v/>
      </c>
      <c r="I52" s="28">
        <f>IF($D$52&gt;=1,IF(ISNUMBER(INDEX(InverterPQ!$B$8:$L$8,1,11)),INDEX(InverterPQ!$B$8:$L$8,1,11),0),IF(NOT(ISNUMBER(INDEX(InverterPQ!$B$8:$L$8,1,MATCH($D$52,InverterPQ!$B$4:$L$4,1)))),0,IF($D$52=INDEX(InverterPQ!$B$4:$L$4,1,MATCH($D$52,InverterPQ!$B$4:$L$4,1)),INDEX(InverterPQ!$B$8:$L$8,1,MATCH($D$52,InverterPQ!$B$4:$L$4,1)),IF(NOT(ISNUMBER(INDEX(InverterPQ!$B$8:$L$8,1,MATCH($D$52,InverterPQ!$B$4:$L$4,1)+1))),0,INDEX(InverterPQ!$B$8:$L$8,1,MATCH($D$52,InverterPQ!$B$4:$L$4,1))+(INDEX(InverterPQ!$B$8:$L$8,1,MATCH($D$52,InverterPQ!$B$4:$L$4,1)+1)-INDEX(InverterPQ!$B$8:$L$8,1,MATCH($D$52,InverterPQ!$B$4:$L$4,1)))*($D$52-INDEX(InverterPQ!$B$4:$L$4,1,MATCH($D$52,InverterPQ!$B$4:$L$4,1)))/(INDEX(InverterPQ!$B$4:$L$4,1,MATCH($D$52,InverterPQ!$B$4:$L$4,1)+1)-INDEX(InverterPQ!$B$4:$L$4,1,MATCH($D$52,InverterPQ!$B$4:$L$4,1)))))))</f>
        <v/>
      </c>
      <c r="J52" s="27">
        <f>Sizing!$B$46*I52/100*Sizing!$B$34/1000+Sizing!$B$41-Sizing!$B$21</f>
        <v/>
      </c>
      <c r="K52" s="27">
        <f>Sizing!$B$46*I52/100*Sizing!$B$34/1000+Sizing!$B$21</f>
        <v/>
      </c>
      <c r="L52" s="27">
        <f>IF(A52&lt;GridCodes!$D$18/100-0.0001,0,$I$6*IF(GridCodes!$E$18&lt;=GridCodes!$D$18,1,MIN(1,(A52-GridCodes!$D$18/100)/(GridCodes!$E$18/100-GridCodes!$D$18/100))))</f>
        <v/>
      </c>
      <c r="M52" s="27">
        <f>IF(A52&lt;GridCodes!$D$18/100-0.0001,0,IF(GridCodes!$F$18=1,IF(A52&gt;=0.5,$I$6,$I$6*0.12/0.33+($I$6-$I$6*0.12/0.33)*(A52-GridCodes!$D$18/100)/(0.5-GridCodes!$D$18/100)),$I$6*IF(GridCodes!$E$18&lt;=GridCodes!$D$18,1,MIN(1,(A52-GridCodes!$D$18/100)/(GridCodes!$E$18/100-GridCodes!$D$18/100)))))</f>
        <v/>
      </c>
      <c r="N52" s="27">
        <f>-K52</f>
        <v/>
      </c>
      <c r="O52" s="22">
        <f>IF(AND(MAX(0,J52)&gt;=L52-0.001,MAX(0,K52)&gt;=M52-0.001),"PASS","FAIL")</f>
        <v/>
      </c>
      <c r="P52" s="8">
        <f>-M52</f>
        <v/>
      </c>
    </row>
    <row r="53">
      <c r="A53" s="29" t="n">
        <v>0.15</v>
      </c>
      <c r="B53" s="28">
        <f>A53*Sizing!$B$7</f>
        <v/>
      </c>
      <c r="C53" s="28">
        <f>A53*Sizing!$B$31*1000/Sizing!$B$46</f>
        <v/>
      </c>
      <c r="D53" s="29">
        <f>C53/Sizing!$B$34</f>
        <v/>
      </c>
      <c r="I53" s="28">
        <f>IF($D$53&gt;=1,IF(ISNUMBER(INDEX(InverterPQ!$B$8:$L$8,1,11)),INDEX(InverterPQ!$B$8:$L$8,1,11),0),IF(NOT(ISNUMBER(INDEX(InverterPQ!$B$8:$L$8,1,MATCH($D$53,InverterPQ!$B$4:$L$4,1)))),0,IF($D$53=INDEX(InverterPQ!$B$4:$L$4,1,MATCH($D$53,InverterPQ!$B$4:$L$4,1)),INDEX(InverterPQ!$B$8:$L$8,1,MATCH($D$53,InverterPQ!$B$4:$L$4,1)),IF(NOT(ISNUMBER(INDEX(InverterPQ!$B$8:$L$8,1,MATCH($D$53,InverterPQ!$B$4:$L$4,1)+1))),0,INDEX(InverterPQ!$B$8:$L$8,1,MATCH($D$53,InverterPQ!$B$4:$L$4,1))+(INDEX(InverterPQ!$B$8:$L$8,1,MATCH($D$53,InverterPQ!$B$4:$L$4,1)+1)-INDEX(InverterPQ!$B$8:$L$8,1,MATCH($D$53,InverterPQ!$B$4:$L$4,1)))*($D$53-INDEX(InverterPQ!$B$4:$L$4,1,MATCH($D$53,InverterPQ!$B$4:$L$4,1)))/(INDEX(InverterPQ!$B$4:$L$4,1,MATCH($D$53,InverterPQ!$B$4:$L$4,1)+1)-INDEX(InverterPQ!$B$4:$L$4,1,MATCH($D$53,InverterPQ!$B$4:$L$4,1)))))))</f>
        <v/>
      </c>
      <c r="J53" s="27">
        <f>Sizing!$B$46*I53/100*Sizing!$B$34/1000+Sizing!$B$41-Sizing!$B$21</f>
        <v/>
      </c>
      <c r="K53" s="27">
        <f>Sizing!$B$46*I53/100*Sizing!$B$34/1000+Sizing!$B$21</f>
        <v/>
      </c>
      <c r="L53" s="27">
        <f>IF(A53&lt;GridCodes!$D$18/100-0.0001,0,$I$6*IF(GridCodes!$E$18&lt;=GridCodes!$D$18,1,MIN(1,(A53-GridCodes!$D$18/100)/(GridCodes!$E$18/100-GridCodes!$D$18/100))))</f>
        <v/>
      </c>
      <c r="M53" s="27">
        <f>IF(A53&lt;GridCodes!$D$18/100-0.0001,0,IF(GridCodes!$F$18=1,IF(A53&gt;=0.5,$I$6,$I$6*0.12/0.33+($I$6-$I$6*0.12/0.33)*(A53-GridCodes!$D$18/100)/(0.5-GridCodes!$D$18/100)),$I$6*IF(GridCodes!$E$18&lt;=GridCodes!$D$18,1,MIN(1,(A53-GridCodes!$D$18/100)/(GridCodes!$E$18/100-GridCodes!$D$18/100)))))</f>
        <v/>
      </c>
      <c r="N53" s="27">
        <f>-K53</f>
        <v/>
      </c>
      <c r="O53" s="22">
        <f>IF(AND(MAX(0,J53)&gt;=L53-0.001,MAX(0,K53)&gt;=M53-0.001),"PASS","FAIL")</f>
        <v/>
      </c>
      <c r="P53" s="8">
        <f>-M53</f>
        <v/>
      </c>
    </row>
    <row r="54">
      <c r="A54" s="29" t="n">
        <v>0.175</v>
      </c>
      <c r="B54" s="28">
        <f>A54*Sizing!$B$7</f>
        <v/>
      </c>
      <c r="C54" s="28">
        <f>A54*Sizing!$B$31*1000/Sizing!$B$46</f>
        <v/>
      </c>
      <c r="D54" s="29">
        <f>C54/Sizing!$B$34</f>
        <v/>
      </c>
      <c r="I54" s="28">
        <f>IF($D$54&gt;=1,IF(ISNUMBER(INDEX(InverterPQ!$B$8:$L$8,1,11)),INDEX(InverterPQ!$B$8:$L$8,1,11),0),IF(NOT(ISNUMBER(INDEX(InverterPQ!$B$8:$L$8,1,MATCH($D$54,InverterPQ!$B$4:$L$4,1)))),0,IF($D$54=INDEX(InverterPQ!$B$4:$L$4,1,MATCH($D$54,InverterPQ!$B$4:$L$4,1)),INDEX(InverterPQ!$B$8:$L$8,1,MATCH($D$54,InverterPQ!$B$4:$L$4,1)),IF(NOT(ISNUMBER(INDEX(InverterPQ!$B$8:$L$8,1,MATCH($D$54,InverterPQ!$B$4:$L$4,1)+1))),0,INDEX(InverterPQ!$B$8:$L$8,1,MATCH($D$54,InverterPQ!$B$4:$L$4,1))+(INDEX(InverterPQ!$B$8:$L$8,1,MATCH($D$54,InverterPQ!$B$4:$L$4,1)+1)-INDEX(InverterPQ!$B$8:$L$8,1,MATCH($D$54,InverterPQ!$B$4:$L$4,1)))*($D$54-INDEX(InverterPQ!$B$4:$L$4,1,MATCH($D$54,InverterPQ!$B$4:$L$4,1)))/(INDEX(InverterPQ!$B$4:$L$4,1,MATCH($D$54,InverterPQ!$B$4:$L$4,1)+1)-INDEX(InverterPQ!$B$4:$L$4,1,MATCH($D$54,InverterPQ!$B$4:$L$4,1)))))))</f>
        <v/>
      </c>
      <c r="J54" s="27">
        <f>Sizing!$B$46*I54/100*Sizing!$B$34/1000+Sizing!$B$41-Sizing!$B$21</f>
        <v/>
      </c>
      <c r="K54" s="27">
        <f>Sizing!$B$46*I54/100*Sizing!$B$34/1000+Sizing!$B$21</f>
        <v/>
      </c>
      <c r="L54" s="27">
        <f>IF(A54&lt;GridCodes!$D$18/100-0.0001,0,$I$6*IF(GridCodes!$E$18&lt;=GridCodes!$D$18,1,MIN(1,(A54-GridCodes!$D$18/100)/(GridCodes!$E$18/100-GridCodes!$D$18/100))))</f>
        <v/>
      </c>
      <c r="M54" s="27">
        <f>IF(A54&lt;GridCodes!$D$18/100-0.0001,0,IF(GridCodes!$F$18=1,IF(A54&gt;=0.5,$I$6,$I$6*0.12/0.33+($I$6-$I$6*0.12/0.33)*(A54-GridCodes!$D$18/100)/(0.5-GridCodes!$D$18/100)),$I$6*IF(GridCodes!$E$18&lt;=GridCodes!$D$18,1,MIN(1,(A54-GridCodes!$D$18/100)/(GridCodes!$E$18/100-GridCodes!$D$18/100)))))</f>
        <v/>
      </c>
      <c r="N54" s="27">
        <f>-K54</f>
        <v/>
      </c>
      <c r="O54" s="22">
        <f>IF(AND(MAX(0,J54)&gt;=L54-0.001,MAX(0,K54)&gt;=M54-0.001),"PASS","FAIL")</f>
        <v/>
      </c>
      <c r="P54" s="8">
        <f>-M54</f>
        <v/>
      </c>
    </row>
    <row r="55">
      <c r="A55" s="29" t="n">
        <v>0.2</v>
      </c>
      <c r="B55" s="28">
        <f>A55*Sizing!$B$7</f>
        <v/>
      </c>
      <c r="C55" s="28">
        <f>A55*Sizing!$B$31*1000/Sizing!$B$46</f>
        <v/>
      </c>
      <c r="D55" s="29">
        <f>C55/Sizing!$B$34</f>
        <v/>
      </c>
      <c r="I55" s="28">
        <f>IF($D$55&gt;=1,IF(ISNUMBER(INDEX(InverterPQ!$B$8:$L$8,1,11)),INDEX(InverterPQ!$B$8:$L$8,1,11),0),IF(NOT(ISNUMBER(INDEX(InverterPQ!$B$8:$L$8,1,MATCH($D$55,InverterPQ!$B$4:$L$4,1)))),0,IF($D$55=INDEX(InverterPQ!$B$4:$L$4,1,MATCH($D$55,InverterPQ!$B$4:$L$4,1)),INDEX(InverterPQ!$B$8:$L$8,1,MATCH($D$55,InverterPQ!$B$4:$L$4,1)),IF(NOT(ISNUMBER(INDEX(InverterPQ!$B$8:$L$8,1,MATCH($D$55,InverterPQ!$B$4:$L$4,1)+1))),0,INDEX(InverterPQ!$B$8:$L$8,1,MATCH($D$55,InverterPQ!$B$4:$L$4,1))+(INDEX(InverterPQ!$B$8:$L$8,1,MATCH($D$55,InverterPQ!$B$4:$L$4,1)+1)-INDEX(InverterPQ!$B$8:$L$8,1,MATCH($D$55,InverterPQ!$B$4:$L$4,1)))*($D$55-INDEX(InverterPQ!$B$4:$L$4,1,MATCH($D$55,InverterPQ!$B$4:$L$4,1)))/(INDEX(InverterPQ!$B$4:$L$4,1,MATCH($D$55,InverterPQ!$B$4:$L$4,1)+1)-INDEX(InverterPQ!$B$4:$L$4,1,MATCH($D$55,InverterPQ!$B$4:$L$4,1)))))))</f>
        <v/>
      </c>
      <c r="J55" s="27">
        <f>Sizing!$B$46*I55/100*Sizing!$B$34/1000+Sizing!$B$41-Sizing!$B$21</f>
        <v/>
      </c>
      <c r="K55" s="27">
        <f>Sizing!$B$46*I55/100*Sizing!$B$34/1000+Sizing!$B$21</f>
        <v/>
      </c>
      <c r="L55" s="27">
        <f>IF(A55&lt;GridCodes!$D$18/100-0.0001,0,$I$6*IF(GridCodes!$E$18&lt;=GridCodes!$D$18,1,MIN(1,(A55-GridCodes!$D$18/100)/(GridCodes!$E$18/100-GridCodes!$D$18/100))))</f>
        <v/>
      </c>
      <c r="M55" s="27">
        <f>IF(A55&lt;GridCodes!$D$18/100-0.0001,0,IF(GridCodes!$F$18=1,IF(A55&gt;=0.5,$I$6,$I$6*0.12/0.33+($I$6-$I$6*0.12/0.33)*(A55-GridCodes!$D$18/100)/(0.5-GridCodes!$D$18/100)),$I$6*IF(GridCodes!$E$18&lt;=GridCodes!$D$18,1,MIN(1,(A55-GridCodes!$D$18/100)/(GridCodes!$E$18/100-GridCodes!$D$18/100)))))</f>
        <v/>
      </c>
      <c r="N55" s="27">
        <f>-K55</f>
        <v/>
      </c>
      <c r="O55" s="22">
        <f>IF(AND(MAX(0,J55)&gt;=L55-0.001,MAX(0,K55)&gt;=M55-0.001),"PASS","FAIL")</f>
        <v/>
      </c>
      <c r="P55" s="8">
        <f>-M55</f>
        <v/>
      </c>
    </row>
    <row r="56">
      <c r="A56" s="29" t="n">
        <v>0.225</v>
      </c>
      <c r="B56" s="28">
        <f>A56*Sizing!$B$7</f>
        <v/>
      </c>
      <c r="C56" s="28">
        <f>A56*Sizing!$B$31*1000/Sizing!$B$46</f>
        <v/>
      </c>
      <c r="D56" s="29">
        <f>C56/Sizing!$B$34</f>
        <v/>
      </c>
      <c r="I56" s="28">
        <f>IF($D$56&gt;=1,IF(ISNUMBER(INDEX(InverterPQ!$B$8:$L$8,1,11)),INDEX(InverterPQ!$B$8:$L$8,1,11),0),IF(NOT(ISNUMBER(INDEX(InverterPQ!$B$8:$L$8,1,MATCH($D$56,InverterPQ!$B$4:$L$4,1)))),0,IF($D$56=INDEX(InverterPQ!$B$4:$L$4,1,MATCH($D$56,InverterPQ!$B$4:$L$4,1)),INDEX(InverterPQ!$B$8:$L$8,1,MATCH($D$56,InverterPQ!$B$4:$L$4,1)),IF(NOT(ISNUMBER(INDEX(InverterPQ!$B$8:$L$8,1,MATCH($D$56,InverterPQ!$B$4:$L$4,1)+1))),0,INDEX(InverterPQ!$B$8:$L$8,1,MATCH($D$56,InverterPQ!$B$4:$L$4,1))+(INDEX(InverterPQ!$B$8:$L$8,1,MATCH($D$56,InverterPQ!$B$4:$L$4,1)+1)-INDEX(InverterPQ!$B$8:$L$8,1,MATCH($D$56,InverterPQ!$B$4:$L$4,1)))*($D$56-INDEX(InverterPQ!$B$4:$L$4,1,MATCH($D$56,InverterPQ!$B$4:$L$4,1)))/(INDEX(InverterPQ!$B$4:$L$4,1,MATCH($D$56,InverterPQ!$B$4:$L$4,1)+1)-INDEX(InverterPQ!$B$4:$L$4,1,MATCH($D$56,InverterPQ!$B$4:$L$4,1)))))))</f>
        <v/>
      </c>
      <c r="J56" s="27">
        <f>Sizing!$B$46*I56/100*Sizing!$B$34/1000+Sizing!$B$41-Sizing!$B$21</f>
        <v/>
      </c>
      <c r="K56" s="27">
        <f>Sizing!$B$46*I56/100*Sizing!$B$34/1000+Sizing!$B$21</f>
        <v/>
      </c>
      <c r="L56" s="27">
        <f>IF(A56&lt;GridCodes!$D$18/100-0.0001,0,$I$6*IF(GridCodes!$E$18&lt;=GridCodes!$D$18,1,MIN(1,(A56-GridCodes!$D$18/100)/(GridCodes!$E$18/100-GridCodes!$D$18/100))))</f>
        <v/>
      </c>
      <c r="M56" s="27">
        <f>IF(A56&lt;GridCodes!$D$18/100-0.0001,0,IF(GridCodes!$F$18=1,IF(A56&gt;=0.5,$I$6,$I$6*0.12/0.33+($I$6-$I$6*0.12/0.33)*(A56-GridCodes!$D$18/100)/(0.5-GridCodes!$D$18/100)),$I$6*IF(GridCodes!$E$18&lt;=GridCodes!$D$18,1,MIN(1,(A56-GridCodes!$D$18/100)/(GridCodes!$E$18/100-GridCodes!$D$18/100)))))</f>
        <v/>
      </c>
      <c r="N56" s="27">
        <f>-K56</f>
        <v/>
      </c>
      <c r="O56" s="22">
        <f>IF(AND(MAX(0,J56)&gt;=L56-0.001,MAX(0,K56)&gt;=M56-0.001),"PASS","FAIL")</f>
        <v/>
      </c>
      <c r="P56" s="8">
        <f>-M56</f>
        <v/>
      </c>
    </row>
    <row r="57">
      <c r="A57" s="29" t="n">
        <v>0.25</v>
      </c>
      <c r="B57" s="28">
        <f>A57*Sizing!$B$7</f>
        <v/>
      </c>
      <c r="C57" s="28">
        <f>A57*Sizing!$B$31*1000/Sizing!$B$46</f>
        <v/>
      </c>
      <c r="D57" s="29">
        <f>C57/Sizing!$B$34</f>
        <v/>
      </c>
      <c r="I57" s="28">
        <f>IF($D$57&gt;=1,IF(ISNUMBER(INDEX(InverterPQ!$B$8:$L$8,1,11)),INDEX(InverterPQ!$B$8:$L$8,1,11),0),IF(NOT(ISNUMBER(INDEX(InverterPQ!$B$8:$L$8,1,MATCH($D$57,InverterPQ!$B$4:$L$4,1)))),0,IF($D$57=INDEX(InverterPQ!$B$4:$L$4,1,MATCH($D$57,InverterPQ!$B$4:$L$4,1)),INDEX(InverterPQ!$B$8:$L$8,1,MATCH($D$57,InverterPQ!$B$4:$L$4,1)),IF(NOT(ISNUMBER(INDEX(InverterPQ!$B$8:$L$8,1,MATCH($D$57,InverterPQ!$B$4:$L$4,1)+1))),0,INDEX(InverterPQ!$B$8:$L$8,1,MATCH($D$57,InverterPQ!$B$4:$L$4,1))+(INDEX(InverterPQ!$B$8:$L$8,1,MATCH($D$57,InverterPQ!$B$4:$L$4,1)+1)-INDEX(InverterPQ!$B$8:$L$8,1,MATCH($D$57,InverterPQ!$B$4:$L$4,1)))*($D$57-INDEX(InverterPQ!$B$4:$L$4,1,MATCH($D$57,InverterPQ!$B$4:$L$4,1)))/(INDEX(InverterPQ!$B$4:$L$4,1,MATCH($D$57,InverterPQ!$B$4:$L$4,1)+1)-INDEX(InverterPQ!$B$4:$L$4,1,MATCH($D$57,InverterPQ!$B$4:$L$4,1)))))))</f>
        <v/>
      </c>
      <c r="J57" s="27">
        <f>Sizing!$B$46*I57/100*Sizing!$B$34/1000+Sizing!$B$41-Sizing!$B$21</f>
        <v/>
      </c>
      <c r="K57" s="27">
        <f>Sizing!$B$46*I57/100*Sizing!$B$34/1000+Sizing!$B$21</f>
        <v/>
      </c>
      <c r="L57" s="27">
        <f>IF(A57&lt;GridCodes!$D$18/100-0.0001,0,$I$6*IF(GridCodes!$E$18&lt;=GridCodes!$D$18,1,MIN(1,(A57-GridCodes!$D$18/100)/(GridCodes!$E$18/100-GridCodes!$D$18/100))))</f>
        <v/>
      </c>
      <c r="M57" s="27">
        <f>IF(A57&lt;GridCodes!$D$18/100-0.0001,0,IF(GridCodes!$F$18=1,IF(A57&gt;=0.5,$I$6,$I$6*0.12/0.33+($I$6-$I$6*0.12/0.33)*(A57-GridCodes!$D$18/100)/(0.5-GridCodes!$D$18/100)),$I$6*IF(GridCodes!$E$18&lt;=GridCodes!$D$18,1,MIN(1,(A57-GridCodes!$D$18/100)/(GridCodes!$E$18/100-GridCodes!$D$18/100)))))</f>
        <v/>
      </c>
      <c r="N57" s="27">
        <f>-K57</f>
        <v/>
      </c>
      <c r="O57" s="22">
        <f>IF(AND(MAX(0,J57)&gt;=L57-0.001,MAX(0,K57)&gt;=M57-0.001),"PASS","FAIL")</f>
        <v/>
      </c>
      <c r="P57" s="8">
        <f>-M57</f>
        <v/>
      </c>
    </row>
    <row r="58">
      <c r="A58" s="29" t="n">
        <v>0.275</v>
      </c>
      <c r="B58" s="28">
        <f>A58*Sizing!$B$7</f>
        <v/>
      </c>
      <c r="C58" s="28">
        <f>A58*Sizing!$B$31*1000/Sizing!$B$46</f>
        <v/>
      </c>
      <c r="D58" s="29">
        <f>C58/Sizing!$B$34</f>
        <v/>
      </c>
      <c r="I58" s="28">
        <f>IF($D$58&gt;=1,IF(ISNUMBER(INDEX(InverterPQ!$B$8:$L$8,1,11)),INDEX(InverterPQ!$B$8:$L$8,1,11),0),IF(NOT(ISNUMBER(INDEX(InverterPQ!$B$8:$L$8,1,MATCH($D$58,InverterPQ!$B$4:$L$4,1)))),0,IF($D$58=INDEX(InverterPQ!$B$4:$L$4,1,MATCH($D$58,InverterPQ!$B$4:$L$4,1)),INDEX(InverterPQ!$B$8:$L$8,1,MATCH($D$58,InverterPQ!$B$4:$L$4,1)),IF(NOT(ISNUMBER(INDEX(InverterPQ!$B$8:$L$8,1,MATCH($D$58,InverterPQ!$B$4:$L$4,1)+1))),0,INDEX(InverterPQ!$B$8:$L$8,1,MATCH($D$58,InverterPQ!$B$4:$L$4,1))+(INDEX(InverterPQ!$B$8:$L$8,1,MATCH($D$58,InverterPQ!$B$4:$L$4,1)+1)-INDEX(InverterPQ!$B$8:$L$8,1,MATCH($D$58,InverterPQ!$B$4:$L$4,1)))*($D$58-INDEX(InverterPQ!$B$4:$L$4,1,MATCH($D$58,InverterPQ!$B$4:$L$4,1)))/(INDEX(InverterPQ!$B$4:$L$4,1,MATCH($D$58,InverterPQ!$B$4:$L$4,1)+1)-INDEX(InverterPQ!$B$4:$L$4,1,MATCH($D$58,InverterPQ!$B$4:$L$4,1)))))))</f>
        <v/>
      </c>
      <c r="J58" s="27">
        <f>Sizing!$B$46*I58/100*Sizing!$B$34/1000+Sizing!$B$41-Sizing!$B$21</f>
        <v/>
      </c>
      <c r="K58" s="27">
        <f>Sizing!$B$46*I58/100*Sizing!$B$34/1000+Sizing!$B$21</f>
        <v/>
      </c>
      <c r="L58" s="27">
        <f>IF(A58&lt;GridCodes!$D$18/100-0.0001,0,$I$6*IF(GridCodes!$E$18&lt;=GridCodes!$D$18,1,MIN(1,(A58-GridCodes!$D$18/100)/(GridCodes!$E$18/100-GridCodes!$D$18/100))))</f>
        <v/>
      </c>
      <c r="M58" s="27">
        <f>IF(A58&lt;GridCodes!$D$18/100-0.0001,0,IF(GridCodes!$F$18=1,IF(A58&gt;=0.5,$I$6,$I$6*0.12/0.33+($I$6-$I$6*0.12/0.33)*(A58-GridCodes!$D$18/100)/(0.5-GridCodes!$D$18/100)),$I$6*IF(GridCodes!$E$18&lt;=GridCodes!$D$18,1,MIN(1,(A58-GridCodes!$D$18/100)/(GridCodes!$E$18/100-GridCodes!$D$18/100)))))</f>
        <v/>
      </c>
      <c r="N58" s="27">
        <f>-K58</f>
        <v/>
      </c>
      <c r="O58" s="22">
        <f>IF(AND(MAX(0,J58)&gt;=L58-0.001,MAX(0,K58)&gt;=M58-0.001),"PASS","FAIL")</f>
        <v/>
      </c>
      <c r="P58" s="8">
        <f>-M58</f>
        <v/>
      </c>
    </row>
    <row r="59">
      <c r="A59" s="29" t="n">
        <v>0.3</v>
      </c>
      <c r="B59" s="28">
        <f>A59*Sizing!$B$7</f>
        <v/>
      </c>
      <c r="C59" s="28">
        <f>A59*Sizing!$B$31*1000/Sizing!$B$46</f>
        <v/>
      </c>
      <c r="D59" s="29">
        <f>C59/Sizing!$B$34</f>
        <v/>
      </c>
      <c r="I59" s="28">
        <f>IF($D$59&gt;=1,IF(ISNUMBER(INDEX(InverterPQ!$B$8:$L$8,1,11)),INDEX(InverterPQ!$B$8:$L$8,1,11),0),IF(NOT(ISNUMBER(INDEX(InverterPQ!$B$8:$L$8,1,MATCH($D$59,InverterPQ!$B$4:$L$4,1)))),0,IF($D$59=INDEX(InverterPQ!$B$4:$L$4,1,MATCH($D$59,InverterPQ!$B$4:$L$4,1)),INDEX(InverterPQ!$B$8:$L$8,1,MATCH($D$59,InverterPQ!$B$4:$L$4,1)),IF(NOT(ISNUMBER(INDEX(InverterPQ!$B$8:$L$8,1,MATCH($D$59,InverterPQ!$B$4:$L$4,1)+1))),0,INDEX(InverterPQ!$B$8:$L$8,1,MATCH($D$59,InverterPQ!$B$4:$L$4,1))+(INDEX(InverterPQ!$B$8:$L$8,1,MATCH($D$59,InverterPQ!$B$4:$L$4,1)+1)-INDEX(InverterPQ!$B$8:$L$8,1,MATCH($D$59,InverterPQ!$B$4:$L$4,1)))*($D$59-INDEX(InverterPQ!$B$4:$L$4,1,MATCH($D$59,InverterPQ!$B$4:$L$4,1)))/(INDEX(InverterPQ!$B$4:$L$4,1,MATCH($D$59,InverterPQ!$B$4:$L$4,1)+1)-INDEX(InverterPQ!$B$4:$L$4,1,MATCH($D$59,InverterPQ!$B$4:$L$4,1)))))))</f>
        <v/>
      </c>
      <c r="J59" s="27">
        <f>Sizing!$B$46*I59/100*Sizing!$B$34/1000+Sizing!$B$41-Sizing!$B$21</f>
        <v/>
      </c>
      <c r="K59" s="27">
        <f>Sizing!$B$46*I59/100*Sizing!$B$34/1000+Sizing!$B$21</f>
        <v/>
      </c>
      <c r="L59" s="27">
        <f>IF(A59&lt;GridCodes!$D$18/100-0.0001,0,$I$6*IF(GridCodes!$E$18&lt;=GridCodes!$D$18,1,MIN(1,(A59-GridCodes!$D$18/100)/(GridCodes!$E$18/100-GridCodes!$D$18/100))))</f>
        <v/>
      </c>
      <c r="M59" s="27">
        <f>IF(A59&lt;GridCodes!$D$18/100-0.0001,0,IF(GridCodes!$F$18=1,IF(A59&gt;=0.5,$I$6,$I$6*0.12/0.33+($I$6-$I$6*0.12/0.33)*(A59-GridCodes!$D$18/100)/(0.5-GridCodes!$D$18/100)),$I$6*IF(GridCodes!$E$18&lt;=GridCodes!$D$18,1,MIN(1,(A59-GridCodes!$D$18/100)/(GridCodes!$E$18/100-GridCodes!$D$18/100)))))</f>
        <v/>
      </c>
      <c r="N59" s="27">
        <f>-K59</f>
        <v/>
      </c>
      <c r="O59" s="22">
        <f>IF(AND(MAX(0,J59)&gt;=L59-0.001,MAX(0,K59)&gt;=M59-0.001),"PASS","FAIL")</f>
        <v/>
      </c>
      <c r="P59" s="8">
        <f>-M59</f>
        <v/>
      </c>
    </row>
    <row r="60">
      <c r="A60" s="29" t="n">
        <v>0.325</v>
      </c>
      <c r="B60" s="28">
        <f>A60*Sizing!$B$7</f>
        <v/>
      </c>
      <c r="C60" s="28">
        <f>A60*Sizing!$B$31*1000/Sizing!$B$46</f>
        <v/>
      </c>
      <c r="D60" s="29">
        <f>C60/Sizing!$B$34</f>
        <v/>
      </c>
      <c r="I60" s="28">
        <f>IF($D$60&gt;=1,IF(ISNUMBER(INDEX(InverterPQ!$B$8:$L$8,1,11)),INDEX(InverterPQ!$B$8:$L$8,1,11),0),IF(NOT(ISNUMBER(INDEX(InverterPQ!$B$8:$L$8,1,MATCH($D$60,InverterPQ!$B$4:$L$4,1)))),0,IF($D$60=INDEX(InverterPQ!$B$4:$L$4,1,MATCH($D$60,InverterPQ!$B$4:$L$4,1)),INDEX(InverterPQ!$B$8:$L$8,1,MATCH($D$60,InverterPQ!$B$4:$L$4,1)),IF(NOT(ISNUMBER(INDEX(InverterPQ!$B$8:$L$8,1,MATCH($D$60,InverterPQ!$B$4:$L$4,1)+1))),0,INDEX(InverterPQ!$B$8:$L$8,1,MATCH($D$60,InverterPQ!$B$4:$L$4,1))+(INDEX(InverterPQ!$B$8:$L$8,1,MATCH($D$60,InverterPQ!$B$4:$L$4,1)+1)-INDEX(InverterPQ!$B$8:$L$8,1,MATCH($D$60,InverterPQ!$B$4:$L$4,1)))*($D$60-INDEX(InverterPQ!$B$4:$L$4,1,MATCH($D$60,InverterPQ!$B$4:$L$4,1)))/(INDEX(InverterPQ!$B$4:$L$4,1,MATCH($D$60,InverterPQ!$B$4:$L$4,1)+1)-INDEX(InverterPQ!$B$4:$L$4,1,MATCH($D$60,InverterPQ!$B$4:$L$4,1)))))))</f>
        <v/>
      </c>
      <c r="J60" s="27">
        <f>Sizing!$B$46*I60/100*Sizing!$B$34/1000+Sizing!$B$41-Sizing!$B$21</f>
        <v/>
      </c>
      <c r="K60" s="27">
        <f>Sizing!$B$46*I60/100*Sizing!$B$34/1000+Sizing!$B$21</f>
        <v/>
      </c>
      <c r="L60" s="27">
        <f>IF(A60&lt;GridCodes!$D$18/100-0.0001,0,$I$6*IF(GridCodes!$E$18&lt;=GridCodes!$D$18,1,MIN(1,(A60-GridCodes!$D$18/100)/(GridCodes!$E$18/100-GridCodes!$D$18/100))))</f>
        <v/>
      </c>
      <c r="M60" s="27">
        <f>IF(A60&lt;GridCodes!$D$18/100-0.0001,0,IF(GridCodes!$F$18=1,IF(A60&gt;=0.5,$I$6,$I$6*0.12/0.33+($I$6-$I$6*0.12/0.33)*(A60-GridCodes!$D$18/100)/(0.5-GridCodes!$D$18/100)),$I$6*IF(GridCodes!$E$18&lt;=GridCodes!$D$18,1,MIN(1,(A60-GridCodes!$D$18/100)/(GridCodes!$E$18/100-GridCodes!$D$18/100)))))</f>
        <v/>
      </c>
      <c r="N60" s="27">
        <f>-K60</f>
        <v/>
      </c>
      <c r="O60" s="22">
        <f>IF(AND(MAX(0,J60)&gt;=L60-0.001,MAX(0,K60)&gt;=M60-0.001),"PASS","FAIL")</f>
        <v/>
      </c>
      <c r="P60" s="8">
        <f>-M60</f>
        <v/>
      </c>
    </row>
    <row r="61">
      <c r="A61" s="29" t="n">
        <v>0.35</v>
      </c>
      <c r="B61" s="28">
        <f>A61*Sizing!$B$7</f>
        <v/>
      </c>
      <c r="C61" s="28">
        <f>A61*Sizing!$B$31*1000/Sizing!$B$46</f>
        <v/>
      </c>
      <c r="D61" s="29">
        <f>C61/Sizing!$B$34</f>
        <v/>
      </c>
      <c r="I61" s="28">
        <f>IF($D$61&gt;=1,IF(ISNUMBER(INDEX(InverterPQ!$B$8:$L$8,1,11)),INDEX(InverterPQ!$B$8:$L$8,1,11),0),IF(NOT(ISNUMBER(INDEX(InverterPQ!$B$8:$L$8,1,MATCH($D$61,InverterPQ!$B$4:$L$4,1)))),0,IF($D$61=INDEX(InverterPQ!$B$4:$L$4,1,MATCH($D$61,InverterPQ!$B$4:$L$4,1)),INDEX(InverterPQ!$B$8:$L$8,1,MATCH($D$61,InverterPQ!$B$4:$L$4,1)),IF(NOT(ISNUMBER(INDEX(InverterPQ!$B$8:$L$8,1,MATCH($D$61,InverterPQ!$B$4:$L$4,1)+1))),0,INDEX(InverterPQ!$B$8:$L$8,1,MATCH($D$61,InverterPQ!$B$4:$L$4,1))+(INDEX(InverterPQ!$B$8:$L$8,1,MATCH($D$61,InverterPQ!$B$4:$L$4,1)+1)-INDEX(InverterPQ!$B$8:$L$8,1,MATCH($D$61,InverterPQ!$B$4:$L$4,1)))*($D$61-INDEX(InverterPQ!$B$4:$L$4,1,MATCH($D$61,InverterPQ!$B$4:$L$4,1)))/(INDEX(InverterPQ!$B$4:$L$4,1,MATCH($D$61,InverterPQ!$B$4:$L$4,1)+1)-INDEX(InverterPQ!$B$4:$L$4,1,MATCH($D$61,InverterPQ!$B$4:$L$4,1)))))))</f>
        <v/>
      </c>
      <c r="J61" s="27">
        <f>Sizing!$B$46*I61/100*Sizing!$B$34/1000+Sizing!$B$41-Sizing!$B$21</f>
        <v/>
      </c>
      <c r="K61" s="27">
        <f>Sizing!$B$46*I61/100*Sizing!$B$34/1000+Sizing!$B$21</f>
        <v/>
      </c>
      <c r="L61" s="27">
        <f>IF(A61&lt;GridCodes!$D$18/100-0.0001,0,$I$6*IF(GridCodes!$E$18&lt;=GridCodes!$D$18,1,MIN(1,(A61-GridCodes!$D$18/100)/(GridCodes!$E$18/100-GridCodes!$D$18/100))))</f>
        <v/>
      </c>
      <c r="M61" s="27">
        <f>IF(A61&lt;GridCodes!$D$18/100-0.0001,0,IF(GridCodes!$F$18=1,IF(A61&gt;=0.5,$I$6,$I$6*0.12/0.33+($I$6-$I$6*0.12/0.33)*(A61-GridCodes!$D$18/100)/(0.5-GridCodes!$D$18/100)),$I$6*IF(GridCodes!$E$18&lt;=GridCodes!$D$18,1,MIN(1,(A61-GridCodes!$D$18/100)/(GridCodes!$E$18/100-GridCodes!$D$18/100)))))</f>
        <v/>
      </c>
      <c r="N61" s="27">
        <f>-K61</f>
        <v/>
      </c>
      <c r="O61" s="22">
        <f>IF(AND(MAX(0,J61)&gt;=L61-0.001,MAX(0,K61)&gt;=M61-0.001),"PASS","FAIL")</f>
        <v/>
      </c>
      <c r="P61" s="8">
        <f>-M61</f>
        <v/>
      </c>
    </row>
    <row r="62">
      <c r="A62" s="29" t="n">
        <v>0.375</v>
      </c>
      <c r="B62" s="28">
        <f>A62*Sizing!$B$7</f>
        <v/>
      </c>
      <c r="C62" s="28">
        <f>A62*Sizing!$B$31*1000/Sizing!$B$46</f>
        <v/>
      </c>
      <c r="D62" s="29">
        <f>C62/Sizing!$B$34</f>
        <v/>
      </c>
      <c r="I62" s="28">
        <f>IF($D$62&gt;=1,IF(ISNUMBER(INDEX(InverterPQ!$B$8:$L$8,1,11)),INDEX(InverterPQ!$B$8:$L$8,1,11),0),IF(NOT(ISNUMBER(INDEX(InverterPQ!$B$8:$L$8,1,MATCH($D$62,InverterPQ!$B$4:$L$4,1)))),0,IF($D$62=INDEX(InverterPQ!$B$4:$L$4,1,MATCH($D$62,InverterPQ!$B$4:$L$4,1)),INDEX(InverterPQ!$B$8:$L$8,1,MATCH($D$62,InverterPQ!$B$4:$L$4,1)),IF(NOT(ISNUMBER(INDEX(InverterPQ!$B$8:$L$8,1,MATCH($D$62,InverterPQ!$B$4:$L$4,1)+1))),0,INDEX(InverterPQ!$B$8:$L$8,1,MATCH($D$62,InverterPQ!$B$4:$L$4,1))+(INDEX(InverterPQ!$B$8:$L$8,1,MATCH($D$62,InverterPQ!$B$4:$L$4,1)+1)-INDEX(InverterPQ!$B$8:$L$8,1,MATCH($D$62,InverterPQ!$B$4:$L$4,1)))*($D$62-INDEX(InverterPQ!$B$4:$L$4,1,MATCH($D$62,InverterPQ!$B$4:$L$4,1)))/(INDEX(InverterPQ!$B$4:$L$4,1,MATCH($D$62,InverterPQ!$B$4:$L$4,1)+1)-INDEX(InverterPQ!$B$4:$L$4,1,MATCH($D$62,InverterPQ!$B$4:$L$4,1)))))))</f>
        <v/>
      </c>
      <c r="J62" s="27">
        <f>Sizing!$B$46*I62/100*Sizing!$B$34/1000+Sizing!$B$41-Sizing!$B$21</f>
        <v/>
      </c>
      <c r="K62" s="27">
        <f>Sizing!$B$46*I62/100*Sizing!$B$34/1000+Sizing!$B$21</f>
        <v/>
      </c>
      <c r="L62" s="27">
        <f>IF(A62&lt;GridCodes!$D$18/100-0.0001,0,$I$6*IF(GridCodes!$E$18&lt;=GridCodes!$D$18,1,MIN(1,(A62-GridCodes!$D$18/100)/(GridCodes!$E$18/100-GridCodes!$D$18/100))))</f>
        <v/>
      </c>
      <c r="M62" s="27">
        <f>IF(A62&lt;GridCodes!$D$18/100-0.0001,0,IF(GridCodes!$F$18=1,IF(A62&gt;=0.5,$I$6,$I$6*0.12/0.33+($I$6-$I$6*0.12/0.33)*(A62-GridCodes!$D$18/100)/(0.5-GridCodes!$D$18/100)),$I$6*IF(GridCodes!$E$18&lt;=GridCodes!$D$18,1,MIN(1,(A62-GridCodes!$D$18/100)/(GridCodes!$E$18/100-GridCodes!$D$18/100)))))</f>
        <v/>
      </c>
      <c r="N62" s="27">
        <f>-K62</f>
        <v/>
      </c>
      <c r="O62" s="22">
        <f>IF(AND(MAX(0,J62)&gt;=L62-0.001,MAX(0,K62)&gt;=M62-0.001),"PASS","FAIL")</f>
        <v/>
      </c>
      <c r="P62" s="8">
        <f>-M62</f>
        <v/>
      </c>
    </row>
    <row r="63">
      <c r="A63" s="29" t="n">
        <v>0.4</v>
      </c>
      <c r="B63" s="28">
        <f>A63*Sizing!$B$7</f>
        <v/>
      </c>
      <c r="C63" s="28">
        <f>A63*Sizing!$B$31*1000/Sizing!$B$46</f>
        <v/>
      </c>
      <c r="D63" s="29">
        <f>C63/Sizing!$B$34</f>
        <v/>
      </c>
      <c r="I63" s="28">
        <f>IF($D$63&gt;=1,IF(ISNUMBER(INDEX(InverterPQ!$B$8:$L$8,1,11)),INDEX(InverterPQ!$B$8:$L$8,1,11),0),IF(NOT(ISNUMBER(INDEX(InverterPQ!$B$8:$L$8,1,MATCH($D$63,InverterPQ!$B$4:$L$4,1)))),0,IF($D$63=INDEX(InverterPQ!$B$4:$L$4,1,MATCH($D$63,InverterPQ!$B$4:$L$4,1)),INDEX(InverterPQ!$B$8:$L$8,1,MATCH($D$63,InverterPQ!$B$4:$L$4,1)),IF(NOT(ISNUMBER(INDEX(InverterPQ!$B$8:$L$8,1,MATCH($D$63,InverterPQ!$B$4:$L$4,1)+1))),0,INDEX(InverterPQ!$B$8:$L$8,1,MATCH($D$63,InverterPQ!$B$4:$L$4,1))+(INDEX(InverterPQ!$B$8:$L$8,1,MATCH($D$63,InverterPQ!$B$4:$L$4,1)+1)-INDEX(InverterPQ!$B$8:$L$8,1,MATCH($D$63,InverterPQ!$B$4:$L$4,1)))*($D$63-INDEX(InverterPQ!$B$4:$L$4,1,MATCH($D$63,InverterPQ!$B$4:$L$4,1)))/(INDEX(InverterPQ!$B$4:$L$4,1,MATCH($D$63,InverterPQ!$B$4:$L$4,1)+1)-INDEX(InverterPQ!$B$4:$L$4,1,MATCH($D$63,InverterPQ!$B$4:$L$4,1)))))))</f>
        <v/>
      </c>
      <c r="J63" s="27">
        <f>Sizing!$B$46*I63/100*Sizing!$B$34/1000+Sizing!$B$41-Sizing!$B$21</f>
        <v/>
      </c>
      <c r="K63" s="27">
        <f>Sizing!$B$46*I63/100*Sizing!$B$34/1000+Sizing!$B$21</f>
        <v/>
      </c>
      <c r="L63" s="27">
        <f>IF(A63&lt;GridCodes!$D$18/100-0.0001,0,$I$6*IF(GridCodes!$E$18&lt;=GridCodes!$D$18,1,MIN(1,(A63-GridCodes!$D$18/100)/(GridCodes!$E$18/100-GridCodes!$D$18/100))))</f>
        <v/>
      </c>
      <c r="M63" s="27">
        <f>IF(A63&lt;GridCodes!$D$18/100-0.0001,0,IF(GridCodes!$F$18=1,IF(A63&gt;=0.5,$I$6,$I$6*0.12/0.33+($I$6-$I$6*0.12/0.33)*(A63-GridCodes!$D$18/100)/(0.5-GridCodes!$D$18/100)),$I$6*IF(GridCodes!$E$18&lt;=GridCodes!$D$18,1,MIN(1,(A63-GridCodes!$D$18/100)/(GridCodes!$E$18/100-GridCodes!$D$18/100)))))</f>
        <v/>
      </c>
      <c r="N63" s="27">
        <f>-K63</f>
        <v/>
      </c>
      <c r="O63" s="22">
        <f>IF(AND(MAX(0,J63)&gt;=L63-0.001,MAX(0,K63)&gt;=M63-0.001),"PASS","FAIL")</f>
        <v/>
      </c>
      <c r="P63" s="8">
        <f>-M63</f>
        <v/>
      </c>
    </row>
    <row r="64">
      <c r="A64" s="29" t="n">
        <v>0.425</v>
      </c>
      <c r="B64" s="28">
        <f>A64*Sizing!$B$7</f>
        <v/>
      </c>
      <c r="C64" s="28">
        <f>A64*Sizing!$B$31*1000/Sizing!$B$46</f>
        <v/>
      </c>
      <c r="D64" s="29">
        <f>C64/Sizing!$B$34</f>
        <v/>
      </c>
      <c r="I64" s="28">
        <f>IF($D$64&gt;=1,IF(ISNUMBER(INDEX(InverterPQ!$B$8:$L$8,1,11)),INDEX(InverterPQ!$B$8:$L$8,1,11),0),IF(NOT(ISNUMBER(INDEX(InverterPQ!$B$8:$L$8,1,MATCH($D$64,InverterPQ!$B$4:$L$4,1)))),0,IF($D$64=INDEX(InverterPQ!$B$4:$L$4,1,MATCH($D$64,InverterPQ!$B$4:$L$4,1)),INDEX(InverterPQ!$B$8:$L$8,1,MATCH($D$64,InverterPQ!$B$4:$L$4,1)),IF(NOT(ISNUMBER(INDEX(InverterPQ!$B$8:$L$8,1,MATCH($D$64,InverterPQ!$B$4:$L$4,1)+1))),0,INDEX(InverterPQ!$B$8:$L$8,1,MATCH($D$64,InverterPQ!$B$4:$L$4,1))+(INDEX(InverterPQ!$B$8:$L$8,1,MATCH($D$64,InverterPQ!$B$4:$L$4,1)+1)-INDEX(InverterPQ!$B$8:$L$8,1,MATCH($D$64,InverterPQ!$B$4:$L$4,1)))*($D$64-INDEX(InverterPQ!$B$4:$L$4,1,MATCH($D$64,InverterPQ!$B$4:$L$4,1)))/(INDEX(InverterPQ!$B$4:$L$4,1,MATCH($D$64,InverterPQ!$B$4:$L$4,1)+1)-INDEX(InverterPQ!$B$4:$L$4,1,MATCH($D$64,InverterPQ!$B$4:$L$4,1)))))))</f>
        <v/>
      </c>
      <c r="J64" s="27">
        <f>Sizing!$B$46*I64/100*Sizing!$B$34/1000+Sizing!$B$41-Sizing!$B$21</f>
        <v/>
      </c>
      <c r="K64" s="27">
        <f>Sizing!$B$46*I64/100*Sizing!$B$34/1000+Sizing!$B$21</f>
        <v/>
      </c>
      <c r="L64" s="27">
        <f>IF(A64&lt;GridCodes!$D$18/100-0.0001,0,$I$6*IF(GridCodes!$E$18&lt;=GridCodes!$D$18,1,MIN(1,(A64-GridCodes!$D$18/100)/(GridCodes!$E$18/100-GridCodes!$D$18/100))))</f>
        <v/>
      </c>
      <c r="M64" s="27">
        <f>IF(A64&lt;GridCodes!$D$18/100-0.0001,0,IF(GridCodes!$F$18=1,IF(A64&gt;=0.5,$I$6,$I$6*0.12/0.33+($I$6-$I$6*0.12/0.33)*(A64-GridCodes!$D$18/100)/(0.5-GridCodes!$D$18/100)),$I$6*IF(GridCodes!$E$18&lt;=GridCodes!$D$18,1,MIN(1,(A64-GridCodes!$D$18/100)/(GridCodes!$E$18/100-GridCodes!$D$18/100)))))</f>
        <v/>
      </c>
      <c r="N64" s="27">
        <f>-K64</f>
        <v/>
      </c>
      <c r="O64" s="22">
        <f>IF(AND(MAX(0,J64)&gt;=L64-0.001,MAX(0,K64)&gt;=M64-0.001),"PASS","FAIL")</f>
        <v/>
      </c>
      <c r="P64" s="8">
        <f>-M64</f>
        <v/>
      </c>
    </row>
    <row r="65">
      <c r="A65" s="29" t="n">
        <v>0.45</v>
      </c>
      <c r="B65" s="28">
        <f>A65*Sizing!$B$7</f>
        <v/>
      </c>
      <c r="C65" s="28">
        <f>A65*Sizing!$B$31*1000/Sizing!$B$46</f>
        <v/>
      </c>
      <c r="D65" s="29">
        <f>C65/Sizing!$B$34</f>
        <v/>
      </c>
      <c r="I65" s="28">
        <f>IF($D$65&gt;=1,IF(ISNUMBER(INDEX(InverterPQ!$B$8:$L$8,1,11)),INDEX(InverterPQ!$B$8:$L$8,1,11),0),IF(NOT(ISNUMBER(INDEX(InverterPQ!$B$8:$L$8,1,MATCH($D$65,InverterPQ!$B$4:$L$4,1)))),0,IF($D$65=INDEX(InverterPQ!$B$4:$L$4,1,MATCH($D$65,InverterPQ!$B$4:$L$4,1)),INDEX(InverterPQ!$B$8:$L$8,1,MATCH($D$65,InverterPQ!$B$4:$L$4,1)),IF(NOT(ISNUMBER(INDEX(InverterPQ!$B$8:$L$8,1,MATCH($D$65,InverterPQ!$B$4:$L$4,1)+1))),0,INDEX(InverterPQ!$B$8:$L$8,1,MATCH($D$65,InverterPQ!$B$4:$L$4,1))+(INDEX(InverterPQ!$B$8:$L$8,1,MATCH($D$65,InverterPQ!$B$4:$L$4,1)+1)-INDEX(InverterPQ!$B$8:$L$8,1,MATCH($D$65,InverterPQ!$B$4:$L$4,1)))*($D$65-INDEX(InverterPQ!$B$4:$L$4,1,MATCH($D$65,InverterPQ!$B$4:$L$4,1)))/(INDEX(InverterPQ!$B$4:$L$4,1,MATCH($D$65,InverterPQ!$B$4:$L$4,1)+1)-INDEX(InverterPQ!$B$4:$L$4,1,MATCH($D$65,InverterPQ!$B$4:$L$4,1)))))))</f>
        <v/>
      </c>
      <c r="J65" s="27">
        <f>Sizing!$B$46*I65/100*Sizing!$B$34/1000+Sizing!$B$41-Sizing!$B$21</f>
        <v/>
      </c>
      <c r="K65" s="27">
        <f>Sizing!$B$46*I65/100*Sizing!$B$34/1000+Sizing!$B$21</f>
        <v/>
      </c>
      <c r="L65" s="27">
        <f>IF(A65&lt;GridCodes!$D$18/100-0.0001,0,$I$6*IF(GridCodes!$E$18&lt;=GridCodes!$D$18,1,MIN(1,(A65-GridCodes!$D$18/100)/(GridCodes!$E$18/100-GridCodes!$D$18/100))))</f>
        <v/>
      </c>
      <c r="M65" s="27">
        <f>IF(A65&lt;GridCodes!$D$18/100-0.0001,0,IF(GridCodes!$F$18=1,IF(A65&gt;=0.5,$I$6,$I$6*0.12/0.33+($I$6-$I$6*0.12/0.33)*(A65-GridCodes!$D$18/100)/(0.5-GridCodes!$D$18/100)),$I$6*IF(GridCodes!$E$18&lt;=GridCodes!$D$18,1,MIN(1,(A65-GridCodes!$D$18/100)/(GridCodes!$E$18/100-GridCodes!$D$18/100)))))</f>
        <v/>
      </c>
      <c r="N65" s="27">
        <f>-K65</f>
        <v/>
      </c>
      <c r="O65" s="22">
        <f>IF(AND(MAX(0,J65)&gt;=L65-0.001,MAX(0,K65)&gt;=M65-0.001),"PASS","FAIL")</f>
        <v/>
      </c>
      <c r="P65" s="8">
        <f>-M65</f>
        <v/>
      </c>
    </row>
    <row r="66">
      <c r="A66" s="29" t="n">
        <v>0.475</v>
      </c>
      <c r="B66" s="28">
        <f>A66*Sizing!$B$7</f>
        <v/>
      </c>
      <c r="C66" s="28">
        <f>A66*Sizing!$B$31*1000/Sizing!$B$46</f>
        <v/>
      </c>
      <c r="D66" s="29">
        <f>C66/Sizing!$B$34</f>
        <v/>
      </c>
      <c r="I66" s="28">
        <f>IF($D$66&gt;=1,IF(ISNUMBER(INDEX(InverterPQ!$B$8:$L$8,1,11)),INDEX(InverterPQ!$B$8:$L$8,1,11),0),IF(NOT(ISNUMBER(INDEX(InverterPQ!$B$8:$L$8,1,MATCH($D$66,InverterPQ!$B$4:$L$4,1)))),0,IF($D$66=INDEX(InverterPQ!$B$4:$L$4,1,MATCH($D$66,InverterPQ!$B$4:$L$4,1)),INDEX(InverterPQ!$B$8:$L$8,1,MATCH($D$66,InverterPQ!$B$4:$L$4,1)),IF(NOT(ISNUMBER(INDEX(InverterPQ!$B$8:$L$8,1,MATCH($D$66,InverterPQ!$B$4:$L$4,1)+1))),0,INDEX(InverterPQ!$B$8:$L$8,1,MATCH($D$66,InverterPQ!$B$4:$L$4,1))+(INDEX(InverterPQ!$B$8:$L$8,1,MATCH($D$66,InverterPQ!$B$4:$L$4,1)+1)-INDEX(InverterPQ!$B$8:$L$8,1,MATCH($D$66,InverterPQ!$B$4:$L$4,1)))*($D$66-INDEX(InverterPQ!$B$4:$L$4,1,MATCH($D$66,InverterPQ!$B$4:$L$4,1)))/(INDEX(InverterPQ!$B$4:$L$4,1,MATCH($D$66,InverterPQ!$B$4:$L$4,1)+1)-INDEX(InverterPQ!$B$4:$L$4,1,MATCH($D$66,InverterPQ!$B$4:$L$4,1)))))))</f>
        <v/>
      </c>
      <c r="J66" s="27">
        <f>Sizing!$B$46*I66/100*Sizing!$B$34/1000+Sizing!$B$41-Sizing!$B$21</f>
        <v/>
      </c>
      <c r="K66" s="27">
        <f>Sizing!$B$46*I66/100*Sizing!$B$34/1000+Sizing!$B$21</f>
        <v/>
      </c>
      <c r="L66" s="27">
        <f>IF(A66&lt;GridCodes!$D$18/100-0.0001,0,$I$6*IF(GridCodes!$E$18&lt;=GridCodes!$D$18,1,MIN(1,(A66-GridCodes!$D$18/100)/(GridCodes!$E$18/100-GridCodes!$D$18/100))))</f>
        <v/>
      </c>
      <c r="M66" s="27">
        <f>IF(A66&lt;GridCodes!$D$18/100-0.0001,0,IF(GridCodes!$F$18=1,IF(A66&gt;=0.5,$I$6,$I$6*0.12/0.33+($I$6-$I$6*0.12/0.33)*(A66-GridCodes!$D$18/100)/(0.5-GridCodes!$D$18/100)),$I$6*IF(GridCodes!$E$18&lt;=GridCodes!$D$18,1,MIN(1,(A66-GridCodes!$D$18/100)/(GridCodes!$E$18/100-GridCodes!$D$18/100)))))</f>
        <v/>
      </c>
      <c r="N66" s="27">
        <f>-K66</f>
        <v/>
      </c>
      <c r="O66" s="22">
        <f>IF(AND(MAX(0,J66)&gt;=L66-0.001,MAX(0,K66)&gt;=M66-0.001),"PASS","FAIL")</f>
        <v/>
      </c>
      <c r="P66" s="8">
        <f>-M66</f>
        <v/>
      </c>
    </row>
    <row r="67">
      <c r="A67" s="29" t="n">
        <v>0.5</v>
      </c>
      <c r="B67" s="28">
        <f>A67*Sizing!$B$7</f>
        <v/>
      </c>
      <c r="C67" s="28">
        <f>A67*Sizing!$B$31*1000/Sizing!$B$46</f>
        <v/>
      </c>
      <c r="D67" s="29">
        <f>C67/Sizing!$B$34</f>
        <v/>
      </c>
      <c r="I67" s="28">
        <f>IF($D$67&gt;=1,IF(ISNUMBER(INDEX(InverterPQ!$B$8:$L$8,1,11)),INDEX(InverterPQ!$B$8:$L$8,1,11),0),IF(NOT(ISNUMBER(INDEX(InverterPQ!$B$8:$L$8,1,MATCH($D$67,InverterPQ!$B$4:$L$4,1)))),0,IF($D$67=INDEX(InverterPQ!$B$4:$L$4,1,MATCH($D$67,InverterPQ!$B$4:$L$4,1)),INDEX(InverterPQ!$B$8:$L$8,1,MATCH($D$67,InverterPQ!$B$4:$L$4,1)),IF(NOT(ISNUMBER(INDEX(InverterPQ!$B$8:$L$8,1,MATCH($D$67,InverterPQ!$B$4:$L$4,1)+1))),0,INDEX(InverterPQ!$B$8:$L$8,1,MATCH($D$67,InverterPQ!$B$4:$L$4,1))+(INDEX(InverterPQ!$B$8:$L$8,1,MATCH($D$67,InverterPQ!$B$4:$L$4,1)+1)-INDEX(InverterPQ!$B$8:$L$8,1,MATCH($D$67,InverterPQ!$B$4:$L$4,1)))*($D$67-INDEX(InverterPQ!$B$4:$L$4,1,MATCH($D$67,InverterPQ!$B$4:$L$4,1)))/(INDEX(InverterPQ!$B$4:$L$4,1,MATCH($D$67,InverterPQ!$B$4:$L$4,1)+1)-INDEX(InverterPQ!$B$4:$L$4,1,MATCH($D$67,InverterPQ!$B$4:$L$4,1)))))))</f>
        <v/>
      </c>
      <c r="J67" s="27">
        <f>Sizing!$B$46*I67/100*Sizing!$B$34/1000+Sizing!$B$41-Sizing!$B$21</f>
        <v/>
      </c>
      <c r="K67" s="27">
        <f>Sizing!$B$46*I67/100*Sizing!$B$34/1000+Sizing!$B$21</f>
        <v/>
      </c>
      <c r="L67" s="27">
        <f>IF(A67&lt;GridCodes!$D$18/100-0.0001,0,$I$6*IF(GridCodes!$E$18&lt;=GridCodes!$D$18,1,MIN(1,(A67-GridCodes!$D$18/100)/(GridCodes!$E$18/100-GridCodes!$D$18/100))))</f>
        <v/>
      </c>
      <c r="M67" s="27">
        <f>IF(A67&lt;GridCodes!$D$18/100-0.0001,0,IF(GridCodes!$F$18=1,IF(A67&gt;=0.5,$I$6,$I$6*0.12/0.33+($I$6-$I$6*0.12/0.33)*(A67-GridCodes!$D$18/100)/(0.5-GridCodes!$D$18/100)),$I$6*IF(GridCodes!$E$18&lt;=GridCodes!$D$18,1,MIN(1,(A67-GridCodes!$D$18/100)/(GridCodes!$E$18/100-GridCodes!$D$18/100)))))</f>
        <v/>
      </c>
      <c r="N67" s="27">
        <f>-K67</f>
        <v/>
      </c>
      <c r="O67" s="22">
        <f>IF(AND(MAX(0,J67)&gt;=L67-0.001,MAX(0,K67)&gt;=M67-0.001),"PASS","FAIL")</f>
        <v/>
      </c>
      <c r="P67" s="8">
        <f>-M67</f>
        <v/>
      </c>
    </row>
    <row r="68">
      <c r="A68" s="29" t="n">
        <v>0.525</v>
      </c>
      <c r="B68" s="28">
        <f>A68*Sizing!$B$7</f>
        <v/>
      </c>
      <c r="C68" s="28">
        <f>A68*Sizing!$B$31*1000/Sizing!$B$46</f>
        <v/>
      </c>
      <c r="D68" s="29">
        <f>C68/Sizing!$B$34</f>
        <v/>
      </c>
      <c r="I68" s="28">
        <f>IF($D$68&gt;=1,IF(ISNUMBER(INDEX(InverterPQ!$B$8:$L$8,1,11)),INDEX(InverterPQ!$B$8:$L$8,1,11),0),IF(NOT(ISNUMBER(INDEX(InverterPQ!$B$8:$L$8,1,MATCH($D$68,InverterPQ!$B$4:$L$4,1)))),0,IF($D$68=INDEX(InverterPQ!$B$4:$L$4,1,MATCH($D$68,InverterPQ!$B$4:$L$4,1)),INDEX(InverterPQ!$B$8:$L$8,1,MATCH($D$68,InverterPQ!$B$4:$L$4,1)),IF(NOT(ISNUMBER(INDEX(InverterPQ!$B$8:$L$8,1,MATCH($D$68,InverterPQ!$B$4:$L$4,1)+1))),0,INDEX(InverterPQ!$B$8:$L$8,1,MATCH($D$68,InverterPQ!$B$4:$L$4,1))+(INDEX(InverterPQ!$B$8:$L$8,1,MATCH($D$68,InverterPQ!$B$4:$L$4,1)+1)-INDEX(InverterPQ!$B$8:$L$8,1,MATCH($D$68,InverterPQ!$B$4:$L$4,1)))*($D$68-INDEX(InverterPQ!$B$4:$L$4,1,MATCH($D$68,InverterPQ!$B$4:$L$4,1)))/(INDEX(InverterPQ!$B$4:$L$4,1,MATCH($D$68,InverterPQ!$B$4:$L$4,1)+1)-INDEX(InverterPQ!$B$4:$L$4,1,MATCH($D$68,InverterPQ!$B$4:$L$4,1)))))))</f>
        <v/>
      </c>
      <c r="J68" s="27">
        <f>Sizing!$B$46*I68/100*Sizing!$B$34/1000+Sizing!$B$41-Sizing!$B$21</f>
        <v/>
      </c>
      <c r="K68" s="27">
        <f>Sizing!$B$46*I68/100*Sizing!$B$34/1000+Sizing!$B$21</f>
        <v/>
      </c>
      <c r="L68" s="27">
        <f>IF(A68&lt;GridCodes!$D$18/100-0.0001,0,$I$6*IF(GridCodes!$E$18&lt;=GridCodes!$D$18,1,MIN(1,(A68-GridCodes!$D$18/100)/(GridCodes!$E$18/100-GridCodes!$D$18/100))))</f>
        <v/>
      </c>
      <c r="M68" s="27">
        <f>IF(A68&lt;GridCodes!$D$18/100-0.0001,0,IF(GridCodes!$F$18=1,IF(A68&gt;=0.5,$I$6,$I$6*0.12/0.33+($I$6-$I$6*0.12/0.33)*(A68-GridCodes!$D$18/100)/(0.5-GridCodes!$D$18/100)),$I$6*IF(GridCodes!$E$18&lt;=GridCodes!$D$18,1,MIN(1,(A68-GridCodes!$D$18/100)/(GridCodes!$E$18/100-GridCodes!$D$18/100)))))</f>
        <v/>
      </c>
      <c r="N68" s="27">
        <f>-K68</f>
        <v/>
      </c>
      <c r="O68" s="22">
        <f>IF(AND(MAX(0,J68)&gt;=L68-0.001,MAX(0,K68)&gt;=M68-0.001),"PASS","FAIL")</f>
        <v/>
      </c>
      <c r="P68" s="8">
        <f>-M68</f>
        <v/>
      </c>
    </row>
    <row r="69">
      <c r="A69" s="29" t="n">
        <v>0.55</v>
      </c>
      <c r="B69" s="28">
        <f>A69*Sizing!$B$7</f>
        <v/>
      </c>
      <c r="C69" s="28">
        <f>A69*Sizing!$B$31*1000/Sizing!$B$46</f>
        <v/>
      </c>
      <c r="D69" s="29">
        <f>C69/Sizing!$B$34</f>
        <v/>
      </c>
      <c r="I69" s="28">
        <f>IF($D$69&gt;=1,IF(ISNUMBER(INDEX(InverterPQ!$B$8:$L$8,1,11)),INDEX(InverterPQ!$B$8:$L$8,1,11),0),IF(NOT(ISNUMBER(INDEX(InverterPQ!$B$8:$L$8,1,MATCH($D$69,InverterPQ!$B$4:$L$4,1)))),0,IF($D$69=INDEX(InverterPQ!$B$4:$L$4,1,MATCH($D$69,InverterPQ!$B$4:$L$4,1)),INDEX(InverterPQ!$B$8:$L$8,1,MATCH($D$69,InverterPQ!$B$4:$L$4,1)),IF(NOT(ISNUMBER(INDEX(InverterPQ!$B$8:$L$8,1,MATCH($D$69,InverterPQ!$B$4:$L$4,1)+1))),0,INDEX(InverterPQ!$B$8:$L$8,1,MATCH($D$69,InverterPQ!$B$4:$L$4,1))+(INDEX(InverterPQ!$B$8:$L$8,1,MATCH($D$69,InverterPQ!$B$4:$L$4,1)+1)-INDEX(InverterPQ!$B$8:$L$8,1,MATCH($D$69,InverterPQ!$B$4:$L$4,1)))*($D$69-INDEX(InverterPQ!$B$4:$L$4,1,MATCH($D$69,InverterPQ!$B$4:$L$4,1)))/(INDEX(InverterPQ!$B$4:$L$4,1,MATCH($D$69,InverterPQ!$B$4:$L$4,1)+1)-INDEX(InverterPQ!$B$4:$L$4,1,MATCH($D$69,InverterPQ!$B$4:$L$4,1)))))))</f>
        <v/>
      </c>
      <c r="J69" s="27">
        <f>Sizing!$B$46*I69/100*Sizing!$B$34/1000+Sizing!$B$41-Sizing!$B$21</f>
        <v/>
      </c>
      <c r="K69" s="27">
        <f>Sizing!$B$46*I69/100*Sizing!$B$34/1000+Sizing!$B$21</f>
        <v/>
      </c>
      <c r="L69" s="27">
        <f>IF(A69&lt;GridCodes!$D$18/100-0.0001,0,$I$6*IF(GridCodes!$E$18&lt;=GridCodes!$D$18,1,MIN(1,(A69-GridCodes!$D$18/100)/(GridCodes!$E$18/100-GridCodes!$D$18/100))))</f>
        <v/>
      </c>
      <c r="M69" s="27">
        <f>IF(A69&lt;GridCodes!$D$18/100-0.0001,0,IF(GridCodes!$F$18=1,IF(A69&gt;=0.5,$I$6,$I$6*0.12/0.33+($I$6-$I$6*0.12/0.33)*(A69-GridCodes!$D$18/100)/(0.5-GridCodes!$D$18/100)),$I$6*IF(GridCodes!$E$18&lt;=GridCodes!$D$18,1,MIN(1,(A69-GridCodes!$D$18/100)/(GridCodes!$E$18/100-GridCodes!$D$18/100)))))</f>
        <v/>
      </c>
      <c r="N69" s="27">
        <f>-K69</f>
        <v/>
      </c>
      <c r="O69" s="22">
        <f>IF(AND(MAX(0,J69)&gt;=L69-0.001,MAX(0,K69)&gt;=M69-0.001),"PASS","FAIL")</f>
        <v/>
      </c>
      <c r="P69" s="8">
        <f>-M69</f>
        <v/>
      </c>
    </row>
    <row r="70">
      <c r="A70" s="29" t="n">
        <v>0.575</v>
      </c>
      <c r="B70" s="28">
        <f>A70*Sizing!$B$7</f>
        <v/>
      </c>
      <c r="C70" s="28">
        <f>A70*Sizing!$B$31*1000/Sizing!$B$46</f>
        <v/>
      </c>
      <c r="D70" s="29">
        <f>C70/Sizing!$B$34</f>
        <v/>
      </c>
      <c r="I70" s="28">
        <f>IF($D$70&gt;=1,IF(ISNUMBER(INDEX(InverterPQ!$B$8:$L$8,1,11)),INDEX(InverterPQ!$B$8:$L$8,1,11),0),IF(NOT(ISNUMBER(INDEX(InverterPQ!$B$8:$L$8,1,MATCH($D$70,InverterPQ!$B$4:$L$4,1)))),0,IF($D$70=INDEX(InverterPQ!$B$4:$L$4,1,MATCH($D$70,InverterPQ!$B$4:$L$4,1)),INDEX(InverterPQ!$B$8:$L$8,1,MATCH($D$70,InverterPQ!$B$4:$L$4,1)),IF(NOT(ISNUMBER(INDEX(InverterPQ!$B$8:$L$8,1,MATCH($D$70,InverterPQ!$B$4:$L$4,1)+1))),0,INDEX(InverterPQ!$B$8:$L$8,1,MATCH($D$70,InverterPQ!$B$4:$L$4,1))+(INDEX(InverterPQ!$B$8:$L$8,1,MATCH($D$70,InverterPQ!$B$4:$L$4,1)+1)-INDEX(InverterPQ!$B$8:$L$8,1,MATCH($D$70,InverterPQ!$B$4:$L$4,1)))*($D$70-INDEX(InverterPQ!$B$4:$L$4,1,MATCH($D$70,InverterPQ!$B$4:$L$4,1)))/(INDEX(InverterPQ!$B$4:$L$4,1,MATCH($D$70,InverterPQ!$B$4:$L$4,1)+1)-INDEX(InverterPQ!$B$4:$L$4,1,MATCH($D$70,InverterPQ!$B$4:$L$4,1)))))))</f>
        <v/>
      </c>
      <c r="J70" s="27">
        <f>Sizing!$B$46*I70/100*Sizing!$B$34/1000+Sizing!$B$41-Sizing!$B$21</f>
        <v/>
      </c>
      <c r="K70" s="27">
        <f>Sizing!$B$46*I70/100*Sizing!$B$34/1000+Sizing!$B$21</f>
        <v/>
      </c>
      <c r="L70" s="27">
        <f>IF(A70&lt;GridCodes!$D$18/100-0.0001,0,$I$6*IF(GridCodes!$E$18&lt;=GridCodes!$D$18,1,MIN(1,(A70-GridCodes!$D$18/100)/(GridCodes!$E$18/100-GridCodes!$D$18/100))))</f>
        <v/>
      </c>
      <c r="M70" s="27">
        <f>IF(A70&lt;GridCodes!$D$18/100-0.0001,0,IF(GridCodes!$F$18=1,IF(A70&gt;=0.5,$I$6,$I$6*0.12/0.33+($I$6-$I$6*0.12/0.33)*(A70-GridCodes!$D$18/100)/(0.5-GridCodes!$D$18/100)),$I$6*IF(GridCodes!$E$18&lt;=GridCodes!$D$18,1,MIN(1,(A70-GridCodes!$D$18/100)/(GridCodes!$E$18/100-GridCodes!$D$18/100)))))</f>
        <v/>
      </c>
      <c r="N70" s="27">
        <f>-K70</f>
        <v/>
      </c>
      <c r="O70" s="22">
        <f>IF(AND(MAX(0,J70)&gt;=L70-0.001,MAX(0,K70)&gt;=M70-0.001),"PASS","FAIL")</f>
        <v/>
      </c>
      <c r="P70" s="8">
        <f>-M70</f>
        <v/>
      </c>
    </row>
    <row r="71">
      <c r="A71" s="29" t="n">
        <v>0.6</v>
      </c>
      <c r="B71" s="28">
        <f>A71*Sizing!$B$7</f>
        <v/>
      </c>
      <c r="C71" s="28">
        <f>A71*Sizing!$B$31*1000/Sizing!$B$46</f>
        <v/>
      </c>
      <c r="D71" s="29">
        <f>C71/Sizing!$B$34</f>
        <v/>
      </c>
      <c r="I71" s="28">
        <f>IF($D$71&gt;=1,IF(ISNUMBER(INDEX(InverterPQ!$B$8:$L$8,1,11)),INDEX(InverterPQ!$B$8:$L$8,1,11),0),IF(NOT(ISNUMBER(INDEX(InverterPQ!$B$8:$L$8,1,MATCH($D$71,InverterPQ!$B$4:$L$4,1)))),0,IF($D$71=INDEX(InverterPQ!$B$4:$L$4,1,MATCH($D$71,InverterPQ!$B$4:$L$4,1)),INDEX(InverterPQ!$B$8:$L$8,1,MATCH($D$71,InverterPQ!$B$4:$L$4,1)),IF(NOT(ISNUMBER(INDEX(InverterPQ!$B$8:$L$8,1,MATCH($D$71,InverterPQ!$B$4:$L$4,1)+1))),0,INDEX(InverterPQ!$B$8:$L$8,1,MATCH($D$71,InverterPQ!$B$4:$L$4,1))+(INDEX(InverterPQ!$B$8:$L$8,1,MATCH($D$71,InverterPQ!$B$4:$L$4,1)+1)-INDEX(InverterPQ!$B$8:$L$8,1,MATCH($D$71,InverterPQ!$B$4:$L$4,1)))*($D$71-INDEX(InverterPQ!$B$4:$L$4,1,MATCH($D$71,InverterPQ!$B$4:$L$4,1)))/(INDEX(InverterPQ!$B$4:$L$4,1,MATCH($D$71,InverterPQ!$B$4:$L$4,1)+1)-INDEX(InverterPQ!$B$4:$L$4,1,MATCH($D$71,InverterPQ!$B$4:$L$4,1)))))))</f>
        <v/>
      </c>
      <c r="J71" s="27">
        <f>Sizing!$B$46*I71/100*Sizing!$B$34/1000+Sizing!$B$41-Sizing!$B$21</f>
        <v/>
      </c>
      <c r="K71" s="27">
        <f>Sizing!$B$46*I71/100*Sizing!$B$34/1000+Sizing!$B$21</f>
        <v/>
      </c>
      <c r="L71" s="27">
        <f>IF(A71&lt;GridCodes!$D$18/100-0.0001,0,$I$6*IF(GridCodes!$E$18&lt;=GridCodes!$D$18,1,MIN(1,(A71-GridCodes!$D$18/100)/(GridCodes!$E$18/100-GridCodes!$D$18/100))))</f>
        <v/>
      </c>
      <c r="M71" s="27">
        <f>IF(A71&lt;GridCodes!$D$18/100-0.0001,0,IF(GridCodes!$F$18=1,IF(A71&gt;=0.5,$I$6,$I$6*0.12/0.33+($I$6-$I$6*0.12/0.33)*(A71-GridCodes!$D$18/100)/(0.5-GridCodes!$D$18/100)),$I$6*IF(GridCodes!$E$18&lt;=GridCodes!$D$18,1,MIN(1,(A71-GridCodes!$D$18/100)/(GridCodes!$E$18/100-GridCodes!$D$18/100)))))</f>
        <v/>
      </c>
      <c r="N71" s="27">
        <f>-K71</f>
        <v/>
      </c>
      <c r="O71" s="22">
        <f>IF(AND(MAX(0,J71)&gt;=L71-0.001,MAX(0,K71)&gt;=M71-0.001),"PASS","FAIL")</f>
        <v/>
      </c>
      <c r="P71" s="8">
        <f>-M71</f>
        <v/>
      </c>
    </row>
    <row r="72">
      <c r="A72" s="29" t="n">
        <v>0.625</v>
      </c>
      <c r="B72" s="28">
        <f>A72*Sizing!$B$7</f>
        <v/>
      </c>
      <c r="C72" s="28">
        <f>A72*Sizing!$B$31*1000/Sizing!$B$46</f>
        <v/>
      </c>
      <c r="D72" s="29">
        <f>C72/Sizing!$B$34</f>
        <v/>
      </c>
      <c r="I72" s="28">
        <f>IF($D$72&gt;=1,IF(ISNUMBER(INDEX(InverterPQ!$B$8:$L$8,1,11)),INDEX(InverterPQ!$B$8:$L$8,1,11),0),IF(NOT(ISNUMBER(INDEX(InverterPQ!$B$8:$L$8,1,MATCH($D$72,InverterPQ!$B$4:$L$4,1)))),0,IF($D$72=INDEX(InverterPQ!$B$4:$L$4,1,MATCH($D$72,InverterPQ!$B$4:$L$4,1)),INDEX(InverterPQ!$B$8:$L$8,1,MATCH($D$72,InverterPQ!$B$4:$L$4,1)),IF(NOT(ISNUMBER(INDEX(InverterPQ!$B$8:$L$8,1,MATCH($D$72,InverterPQ!$B$4:$L$4,1)+1))),0,INDEX(InverterPQ!$B$8:$L$8,1,MATCH($D$72,InverterPQ!$B$4:$L$4,1))+(INDEX(InverterPQ!$B$8:$L$8,1,MATCH($D$72,InverterPQ!$B$4:$L$4,1)+1)-INDEX(InverterPQ!$B$8:$L$8,1,MATCH($D$72,InverterPQ!$B$4:$L$4,1)))*($D$72-INDEX(InverterPQ!$B$4:$L$4,1,MATCH($D$72,InverterPQ!$B$4:$L$4,1)))/(INDEX(InverterPQ!$B$4:$L$4,1,MATCH($D$72,InverterPQ!$B$4:$L$4,1)+1)-INDEX(InverterPQ!$B$4:$L$4,1,MATCH($D$72,InverterPQ!$B$4:$L$4,1)))))))</f>
        <v/>
      </c>
      <c r="J72" s="27">
        <f>Sizing!$B$46*I72/100*Sizing!$B$34/1000+Sizing!$B$41-Sizing!$B$21</f>
        <v/>
      </c>
      <c r="K72" s="27">
        <f>Sizing!$B$46*I72/100*Sizing!$B$34/1000+Sizing!$B$21</f>
        <v/>
      </c>
      <c r="L72" s="27">
        <f>IF(A72&lt;GridCodes!$D$18/100-0.0001,0,$I$6*IF(GridCodes!$E$18&lt;=GridCodes!$D$18,1,MIN(1,(A72-GridCodes!$D$18/100)/(GridCodes!$E$18/100-GridCodes!$D$18/100))))</f>
        <v/>
      </c>
      <c r="M72" s="27">
        <f>IF(A72&lt;GridCodes!$D$18/100-0.0001,0,IF(GridCodes!$F$18=1,IF(A72&gt;=0.5,$I$6,$I$6*0.12/0.33+($I$6-$I$6*0.12/0.33)*(A72-GridCodes!$D$18/100)/(0.5-GridCodes!$D$18/100)),$I$6*IF(GridCodes!$E$18&lt;=GridCodes!$D$18,1,MIN(1,(A72-GridCodes!$D$18/100)/(GridCodes!$E$18/100-GridCodes!$D$18/100)))))</f>
        <v/>
      </c>
      <c r="N72" s="27">
        <f>-K72</f>
        <v/>
      </c>
      <c r="O72" s="22">
        <f>IF(AND(MAX(0,J72)&gt;=L72-0.001,MAX(0,K72)&gt;=M72-0.001),"PASS","FAIL")</f>
        <v/>
      </c>
      <c r="P72" s="8">
        <f>-M72</f>
        <v/>
      </c>
    </row>
    <row r="73">
      <c r="A73" s="29" t="n">
        <v>0.65</v>
      </c>
      <c r="B73" s="28">
        <f>A73*Sizing!$B$7</f>
        <v/>
      </c>
      <c r="C73" s="28">
        <f>A73*Sizing!$B$31*1000/Sizing!$B$46</f>
        <v/>
      </c>
      <c r="D73" s="29">
        <f>C73/Sizing!$B$34</f>
        <v/>
      </c>
      <c r="I73" s="28">
        <f>IF($D$73&gt;=1,IF(ISNUMBER(INDEX(InverterPQ!$B$8:$L$8,1,11)),INDEX(InverterPQ!$B$8:$L$8,1,11),0),IF(NOT(ISNUMBER(INDEX(InverterPQ!$B$8:$L$8,1,MATCH($D$73,InverterPQ!$B$4:$L$4,1)))),0,IF($D$73=INDEX(InverterPQ!$B$4:$L$4,1,MATCH($D$73,InverterPQ!$B$4:$L$4,1)),INDEX(InverterPQ!$B$8:$L$8,1,MATCH($D$73,InverterPQ!$B$4:$L$4,1)),IF(NOT(ISNUMBER(INDEX(InverterPQ!$B$8:$L$8,1,MATCH($D$73,InverterPQ!$B$4:$L$4,1)+1))),0,INDEX(InverterPQ!$B$8:$L$8,1,MATCH($D$73,InverterPQ!$B$4:$L$4,1))+(INDEX(InverterPQ!$B$8:$L$8,1,MATCH($D$73,InverterPQ!$B$4:$L$4,1)+1)-INDEX(InverterPQ!$B$8:$L$8,1,MATCH($D$73,InverterPQ!$B$4:$L$4,1)))*($D$73-INDEX(InverterPQ!$B$4:$L$4,1,MATCH($D$73,InverterPQ!$B$4:$L$4,1)))/(INDEX(InverterPQ!$B$4:$L$4,1,MATCH($D$73,InverterPQ!$B$4:$L$4,1)+1)-INDEX(InverterPQ!$B$4:$L$4,1,MATCH($D$73,InverterPQ!$B$4:$L$4,1)))))))</f>
        <v/>
      </c>
      <c r="J73" s="27">
        <f>Sizing!$B$46*I73/100*Sizing!$B$34/1000+Sizing!$B$41-Sizing!$B$21</f>
        <v/>
      </c>
      <c r="K73" s="27">
        <f>Sizing!$B$46*I73/100*Sizing!$B$34/1000+Sizing!$B$21</f>
        <v/>
      </c>
      <c r="L73" s="27">
        <f>IF(A73&lt;GridCodes!$D$18/100-0.0001,0,$I$6*IF(GridCodes!$E$18&lt;=GridCodes!$D$18,1,MIN(1,(A73-GridCodes!$D$18/100)/(GridCodes!$E$18/100-GridCodes!$D$18/100))))</f>
        <v/>
      </c>
      <c r="M73" s="27">
        <f>IF(A73&lt;GridCodes!$D$18/100-0.0001,0,IF(GridCodes!$F$18=1,IF(A73&gt;=0.5,$I$6,$I$6*0.12/0.33+($I$6-$I$6*0.12/0.33)*(A73-GridCodes!$D$18/100)/(0.5-GridCodes!$D$18/100)),$I$6*IF(GridCodes!$E$18&lt;=GridCodes!$D$18,1,MIN(1,(A73-GridCodes!$D$18/100)/(GridCodes!$E$18/100-GridCodes!$D$18/100)))))</f>
        <v/>
      </c>
      <c r="N73" s="27">
        <f>-K73</f>
        <v/>
      </c>
      <c r="O73" s="22">
        <f>IF(AND(MAX(0,J73)&gt;=L73-0.001,MAX(0,K73)&gt;=M73-0.001),"PASS","FAIL")</f>
        <v/>
      </c>
      <c r="P73" s="8">
        <f>-M73</f>
        <v/>
      </c>
    </row>
    <row r="74">
      <c r="A74" s="29" t="n">
        <v>0.675</v>
      </c>
      <c r="B74" s="28">
        <f>A74*Sizing!$B$7</f>
        <v/>
      </c>
      <c r="C74" s="28">
        <f>A74*Sizing!$B$31*1000/Sizing!$B$46</f>
        <v/>
      </c>
      <c r="D74" s="29">
        <f>C74/Sizing!$B$34</f>
        <v/>
      </c>
      <c r="I74" s="28">
        <f>IF($D$74&gt;=1,IF(ISNUMBER(INDEX(InverterPQ!$B$8:$L$8,1,11)),INDEX(InverterPQ!$B$8:$L$8,1,11),0),IF(NOT(ISNUMBER(INDEX(InverterPQ!$B$8:$L$8,1,MATCH($D$74,InverterPQ!$B$4:$L$4,1)))),0,IF($D$74=INDEX(InverterPQ!$B$4:$L$4,1,MATCH($D$74,InverterPQ!$B$4:$L$4,1)),INDEX(InverterPQ!$B$8:$L$8,1,MATCH($D$74,InverterPQ!$B$4:$L$4,1)),IF(NOT(ISNUMBER(INDEX(InverterPQ!$B$8:$L$8,1,MATCH($D$74,InverterPQ!$B$4:$L$4,1)+1))),0,INDEX(InverterPQ!$B$8:$L$8,1,MATCH($D$74,InverterPQ!$B$4:$L$4,1))+(INDEX(InverterPQ!$B$8:$L$8,1,MATCH($D$74,InverterPQ!$B$4:$L$4,1)+1)-INDEX(InverterPQ!$B$8:$L$8,1,MATCH($D$74,InverterPQ!$B$4:$L$4,1)))*($D$74-INDEX(InverterPQ!$B$4:$L$4,1,MATCH($D$74,InverterPQ!$B$4:$L$4,1)))/(INDEX(InverterPQ!$B$4:$L$4,1,MATCH($D$74,InverterPQ!$B$4:$L$4,1)+1)-INDEX(InverterPQ!$B$4:$L$4,1,MATCH($D$74,InverterPQ!$B$4:$L$4,1)))))))</f>
        <v/>
      </c>
      <c r="J74" s="27">
        <f>Sizing!$B$46*I74/100*Sizing!$B$34/1000+Sizing!$B$41-Sizing!$B$21</f>
        <v/>
      </c>
      <c r="K74" s="27">
        <f>Sizing!$B$46*I74/100*Sizing!$B$34/1000+Sizing!$B$21</f>
        <v/>
      </c>
      <c r="L74" s="27">
        <f>IF(A74&lt;GridCodes!$D$18/100-0.0001,0,$I$6*IF(GridCodes!$E$18&lt;=GridCodes!$D$18,1,MIN(1,(A74-GridCodes!$D$18/100)/(GridCodes!$E$18/100-GridCodes!$D$18/100))))</f>
        <v/>
      </c>
      <c r="M74" s="27">
        <f>IF(A74&lt;GridCodes!$D$18/100-0.0001,0,IF(GridCodes!$F$18=1,IF(A74&gt;=0.5,$I$6,$I$6*0.12/0.33+($I$6-$I$6*0.12/0.33)*(A74-GridCodes!$D$18/100)/(0.5-GridCodes!$D$18/100)),$I$6*IF(GridCodes!$E$18&lt;=GridCodes!$D$18,1,MIN(1,(A74-GridCodes!$D$18/100)/(GridCodes!$E$18/100-GridCodes!$D$18/100)))))</f>
        <v/>
      </c>
      <c r="N74" s="27">
        <f>-K74</f>
        <v/>
      </c>
      <c r="O74" s="22">
        <f>IF(AND(MAX(0,J74)&gt;=L74-0.001,MAX(0,K74)&gt;=M74-0.001),"PASS","FAIL")</f>
        <v/>
      </c>
      <c r="P74" s="8">
        <f>-M74</f>
        <v/>
      </c>
    </row>
    <row r="75">
      <c r="A75" s="29" t="n">
        <v>0.7</v>
      </c>
      <c r="B75" s="28">
        <f>A75*Sizing!$B$7</f>
        <v/>
      </c>
      <c r="C75" s="28">
        <f>A75*Sizing!$B$31*1000/Sizing!$B$46</f>
        <v/>
      </c>
      <c r="D75" s="29">
        <f>C75/Sizing!$B$34</f>
        <v/>
      </c>
      <c r="I75" s="28">
        <f>IF($D$75&gt;=1,IF(ISNUMBER(INDEX(InverterPQ!$B$8:$L$8,1,11)),INDEX(InverterPQ!$B$8:$L$8,1,11),0),IF(NOT(ISNUMBER(INDEX(InverterPQ!$B$8:$L$8,1,MATCH($D$75,InverterPQ!$B$4:$L$4,1)))),0,IF($D$75=INDEX(InverterPQ!$B$4:$L$4,1,MATCH($D$75,InverterPQ!$B$4:$L$4,1)),INDEX(InverterPQ!$B$8:$L$8,1,MATCH($D$75,InverterPQ!$B$4:$L$4,1)),IF(NOT(ISNUMBER(INDEX(InverterPQ!$B$8:$L$8,1,MATCH($D$75,InverterPQ!$B$4:$L$4,1)+1))),0,INDEX(InverterPQ!$B$8:$L$8,1,MATCH($D$75,InverterPQ!$B$4:$L$4,1))+(INDEX(InverterPQ!$B$8:$L$8,1,MATCH($D$75,InverterPQ!$B$4:$L$4,1)+1)-INDEX(InverterPQ!$B$8:$L$8,1,MATCH($D$75,InverterPQ!$B$4:$L$4,1)))*($D$75-INDEX(InverterPQ!$B$4:$L$4,1,MATCH($D$75,InverterPQ!$B$4:$L$4,1)))/(INDEX(InverterPQ!$B$4:$L$4,1,MATCH($D$75,InverterPQ!$B$4:$L$4,1)+1)-INDEX(InverterPQ!$B$4:$L$4,1,MATCH($D$75,InverterPQ!$B$4:$L$4,1)))))))</f>
        <v/>
      </c>
      <c r="J75" s="27">
        <f>Sizing!$B$46*I75/100*Sizing!$B$34/1000+Sizing!$B$41-Sizing!$B$21</f>
        <v/>
      </c>
      <c r="K75" s="27">
        <f>Sizing!$B$46*I75/100*Sizing!$B$34/1000+Sizing!$B$21</f>
        <v/>
      </c>
      <c r="L75" s="27">
        <f>IF(A75&lt;GridCodes!$D$18/100-0.0001,0,$I$6*IF(GridCodes!$E$18&lt;=GridCodes!$D$18,1,MIN(1,(A75-GridCodes!$D$18/100)/(GridCodes!$E$18/100-GridCodes!$D$18/100))))</f>
        <v/>
      </c>
      <c r="M75" s="27">
        <f>IF(A75&lt;GridCodes!$D$18/100-0.0001,0,IF(GridCodes!$F$18=1,IF(A75&gt;=0.5,$I$6,$I$6*0.12/0.33+($I$6-$I$6*0.12/0.33)*(A75-GridCodes!$D$18/100)/(0.5-GridCodes!$D$18/100)),$I$6*IF(GridCodes!$E$18&lt;=GridCodes!$D$18,1,MIN(1,(A75-GridCodes!$D$18/100)/(GridCodes!$E$18/100-GridCodes!$D$18/100)))))</f>
        <v/>
      </c>
      <c r="N75" s="27">
        <f>-K75</f>
        <v/>
      </c>
      <c r="O75" s="22">
        <f>IF(AND(MAX(0,J75)&gt;=L75-0.001,MAX(0,K75)&gt;=M75-0.001),"PASS","FAIL")</f>
        <v/>
      </c>
      <c r="P75" s="8">
        <f>-M75</f>
        <v/>
      </c>
    </row>
    <row r="76">
      <c r="A76" s="29" t="n">
        <v>0.725</v>
      </c>
      <c r="B76" s="28">
        <f>A76*Sizing!$B$7</f>
        <v/>
      </c>
      <c r="C76" s="28">
        <f>A76*Sizing!$B$31*1000/Sizing!$B$46</f>
        <v/>
      </c>
      <c r="D76" s="29">
        <f>C76/Sizing!$B$34</f>
        <v/>
      </c>
      <c r="I76" s="28">
        <f>IF($D$76&gt;=1,IF(ISNUMBER(INDEX(InverterPQ!$B$8:$L$8,1,11)),INDEX(InverterPQ!$B$8:$L$8,1,11),0),IF(NOT(ISNUMBER(INDEX(InverterPQ!$B$8:$L$8,1,MATCH($D$76,InverterPQ!$B$4:$L$4,1)))),0,IF($D$76=INDEX(InverterPQ!$B$4:$L$4,1,MATCH($D$76,InverterPQ!$B$4:$L$4,1)),INDEX(InverterPQ!$B$8:$L$8,1,MATCH($D$76,InverterPQ!$B$4:$L$4,1)),IF(NOT(ISNUMBER(INDEX(InverterPQ!$B$8:$L$8,1,MATCH($D$76,InverterPQ!$B$4:$L$4,1)+1))),0,INDEX(InverterPQ!$B$8:$L$8,1,MATCH($D$76,InverterPQ!$B$4:$L$4,1))+(INDEX(InverterPQ!$B$8:$L$8,1,MATCH($D$76,InverterPQ!$B$4:$L$4,1)+1)-INDEX(InverterPQ!$B$8:$L$8,1,MATCH($D$76,InverterPQ!$B$4:$L$4,1)))*($D$76-INDEX(InverterPQ!$B$4:$L$4,1,MATCH($D$76,InverterPQ!$B$4:$L$4,1)))/(INDEX(InverterPQ!$B$4:$L$4,1,MATCH($D$76,InverterPQ!$B$4:$L$4,1)+1)-INDEX(InverterPQ!$B$4:$L$4,1,MATCH($D$76,InverterPQ!$B$4:$L$4,1)))))))</f>
        <v/>
      </c>
      <c r="J76" s="27">
        <f>Sizing!$B$46*I76/100*Sizing!$B$34/1000+Sizing!$B$41-Sizing!$B$21</f>
        <v/>
      </c>
      <c r="K76" s="27">
        <f>Sizing!$B$46*I76/100*Sizing!$B$34/1000+Sizing!$B$21</f>
        <v/>
      </c>
      <c r="L76" s="27">
        <f>IF(A76&lt;GridCodes!$D$18/100-0.0001,0,$I$6*IF(GridCodes!$E$18&lt;=GridCodes!$D$18,1,MIN(1,(A76-GridCodes!$D$18/100)/(GridCodes!$E$18/100-GridCodes!$D$18/100))))</f>
        <v/>
      </c>
      <c r="M76" s="27">
        <f>IF(A76&lt;GridCodes!$D$18/100-0.0001,0,IF(GridCodes!$F$18=1,IF(A76&gt;=0.5,$I$6,$I$6*0.12/0.33+($I$6-$I$6*0.12/0.33)*(A76-GridCodes!$D$18/100)/(0.5-GridCodes!$D$18/100)),$I$6*IF(GridCodes!$E$18&lt;=GridCodes!$D$18,1,MIN(1,(A76-GridCodes!$D$18/100)/(GridCodes!$E$18/100-GridCodes!$D$18/100)))))</f>
        <v/>
      </c>
      <c r="N76" s="27">
        <f>-K76</f>
        <v/>
      </c>
      <c r="O76" s="22">
        <f>IF(AND(MAX(0,J76)&gt;=L76-0.001,MAX(0,K76)&gt;=M76-0.001),"PASS","FAIL")</f>
        <v/>
      </c>
      <c r="P76" s="8">
        <f>-M76</f>
        <v/>
      </c>
    </row>
    <row r="77">
      <c r="A77" s="29" t="n">
        <v>0.75</v>
      </c>
      <c r="B77" s="28">
        <f>A77*Sizing!$B$7</f>
        <v/>
      </c>
      <c r="C77" s="28">
        <f>A77*Sizing!$B$31*1000/Sizing!$B$46</f>
        <v/>
      </c>
      <c r="D77" s="29">
        <f>C77/Sizing!$B$34</f>
        <v/>
      </c>
      <c r="I77" s="28">
        <f>IF($D$77&gt;=1,IF(ISNUMBER(INDEX(InverterPQ!$B$8:$L$8,1,11)),INDEX(InverterPQ!$B$8:$L$8,1,11),0),IF(NOT(ISNUMBER(INDEX(InverterPQ!$B$8:$L$8,1,MATCH($D$77,InverterPQ!$B$4:$L$4,1)))),0,IF($D$77=INDEX(InverterPQ!$B$4:$L$4,1,MATCH($D$77,InverterPQ!$B$4:$L$4,1)),INDEX(InverterPQ!$B$8:$L$8,1,MATCH($D$77,InverterPQ!$B$4:$L$4,1)),IF(NOT(ISNUMBER(INDEX(InverterPQ!$B$8:$L$8,1,MATCH($D$77,InverterPQ!$B$4:$L$4,1)+1))),0,INDEX(InverterPQ!$B$8:$L$8,1,MATCH($D$77,InverterPQ!$B$4:$L$4,1))+(INDEX(InverterPQ!$B$8:$L$8,1,MATCH($D$77,InverterPQ!$B$4:$L$4,1)+1)-INDEX(InverterPQ!$B$8:$L$8,1,MATCH($D$77,InverterPQ!$B$4:$L$4,1)))*($D$77-INDEX(InverterPQ!$B$4:$L$4,1,MATCH($D$77,InverterPQ!$B$4:$L$4,1)))/(INDEX(InverterPQ!$B$4:$L$4,1,MATCH($D$77,InverterPQ!$B$4:$L$4,1)+1)-INDEX(InverterPQ!$B$4:$L$4,1,MATCH($D$77,InverterPQ!$B$4:$L$4,1)))))))</f>
        <v/>
      </c>
      <c r="J77" s="27">
        <f>Sizing!$B$46*I77/100*Sizing!$B$34/1000+Sizing!$B$41-Sizing!$B$21</f>
        <v/>
      </c>
      <c r="K77" s="27">
        <f>Sizing!$B$46*I77/100*Sizing!$B$34/1000+Sizing!$B$21</f>
        <v/>
      </c>
      <c r="L77" s="27">
        <f>IF(A77&lt;GridCodes!$D$18/100-0.0001,0,$I$6*IF(GridCodes!$E$18&lt;=GridCodes!$D$18,1,MIN(1,(A77-GridCodes!$D$18/100)/(GridCodes!$E$18/100-GridCodes!$D$18/100))))</f>
        <v/>
      </c>
      <c r="M77" s="27">
        <f>IF(A77&lt;GridCodes!$D$18/100-0.0001,0,IF(GridCodes!$F$18=1,IF(A77&gt;=0.5,$I$6,$I$6*0.12/0.33+($I$6-$I$6*0.12/0.33)*(A77-GridCodes!$D$18/100)/(0.5-GridCodes!$D$18/100)),$I$6*IF(GridCodes!$E$18&lt;=GridCodes!$D$18,1,MIN(1,(A77-GridCodes!$D$18/100)/(GridCodes!$E$18/100-GridCodes!$D$18/100)))))</f>
        <v/>
      </c>
      <c r="N77" s="27">
        <f>-K77</f>
        <v/>
      </c>
      <c r="O77" s="22">
        <f>IF(AND(MAX(0,J77)&gt;=L77-0.001,MAX(0,K77)&gt;=M77-0.001),"PASS","FAIL")</f>
        <v/>
      </c>
      <c r="P77" s="8">
        <f>-M77</f>
        <v/>
      </c>
    </row>
    <row r="78">
      <c r="A78" s="29" t="n">
        <v>0.775</v>
      </c>
      <c r="B78" s="28">
        <f>A78*Sizing!$B$7</f>
        <v/>
      </c>
      <c r="C78" s="28">
        <f>A78*Sizing!$B$31*1000/Sizing!$B$46</f>
        <v/>
      </c>
      <c r="D78" s="29">
        <f>C78/Sizing!$B$34</f>
        <v/>
      </c>
      <c r="I78" s="28">
        <f>IF($D$78&gt;=1,IF(ISNUMBER(INDEX(InverterPQ!$B$8:$L$8,1,11)),INDEX(InverterPQ!$B$8:$L$8,1,11),0),IF(NOT(ISNUMBER(INDEX(InverterPQ!$B$8:$L$8,1,MATCH($D$78,InverterPQ!$B$4:$L$4,1)))),0,IF($D$78=INDEX(InverterPQ!$B$4:$L$4,1,MATCH($D$78,InverterPQ!$B$4:$L$4,1)),INDEX(InverterPQ!$B$8:$L$8,1,MATCH($D$78,InverterPQ!$B$4:$L$4,1)),IF(NOT(ISNUMBER(INDEX(InverterPQ!$B$8:$L$8,1,MATCH($D$78,InverterPQ!$B$4:$L$4,1)+1))),0,INDEX(InverterPQ!$B$8:$L$8,1,MATCH($D$78,InverterPQ!$B$4:$L$4,1))+(INDEX(InverterPQ!$B$8:$L$8,1,MATCH($D$78,InverterPQ!$B$4:$L$4,1)+1)-INDEX(InverterPQ!$B$8:$L$8,1,MATCH($D$78,InverterPQ!$B$4:$L$4,1)))*($D$78-INDEX(InverterPQ!$B$4:$L$4,1,MATCH($D$78,InverterPQ!$B$4:$L$4,1)))/(INDEX(InverterPQ!$B$4:$L$4,1,MATCH($D$78,InverterPQ!$B$4:$L$4,1)+1)-INDEX(InverterPQ!$B$4:$L$4,1,MATCH($D$78,InverterPQ!$B$4:$L$4,1)))))))</f>
        <v/>
      </c>
      <c r="J78" s="27">
        <f>Sizing!$B$46*I78/100*Sizing!$B$34/1000+Sizing!$B$41-Sizing!$B$21</f>
        <v/>
      </c>
      <c r="K78" s="27">
        <f>Sizing!$B$46*I78/100*Sizing!$B$34/1000+Sizing!$B$21</f>
        <v/>
      </c>
      <c r="L78" s="27">
        <f>IF(A78&lt;GridCodes!$D$18/100-0.0001,0,$I$6*IF(GridCodes!$E$18&lt;=GridCodes!$D$18,1,MIN(1,(A78-GridCodes!$D$18/100)/(GridCodes!$E$18/100-GridCodes!$D$18/100))))</f>
        <v/>
      </c>
      <c r="M78" s="27">
        <f>IF(A78&lt;GridCodes!$D$18/100-0.0001,0,IF(GridCodes!$F$18=1,IF(A78&gt;=0.5,$I$6,$I$6*0.12/0.33+($I$6-$I$6*0.12/0.33)*(A78-GridCodes!$D$18/100)/(0.5-GridCodes!$D$18/100)),$I$6*IF(GridCodes!$E$18&lt;=GridCodes!$D$18,1,MIN(1,(A78-GridCodes!$D$18/100)/(GridCodes!$E$18/100-GridCodes!$D$18/100)))))</f>
        <v/>
      </c>
      <c r="N78" s="27">
        <f>-K78</f>
        <v/>
      </c>
      <c r="O78" s="22">
        <f>IF(AND(MAX(0,J78)&gt;=L78-0.001,MAX(0,K78)&gt;=M78-0.001),"PASS","FAIL")</f>
        <v/>
      </c>
      <c r="P78" s="8">
        <f>-M78</f>
        <v/>
      </c>
    </row>
    <row r="79">
      <c r="A79" s="29" t="n">
        <v>0.8</v>
      </c>
      <c r="B79" s="28">
        <f>A79*Sizing!$B$7</f>
        <v/>
      </c>
      <c r="C79" s="28">
        <f>A79*Sizing!$B$31*1000/Sizing!$B$46</f>
        <v/>
      </c>
      <c r="D79" s="29">
        <f>C79/Sizing!$B$34</f>
        <v/>
      </c>
      <c r="I79" s="28">
        <f>IF($D$79&gt;=1,IF(ISNUMBER(INDEX(InverterPQ!$B$8:$L$8,1,11)),INDEX(InverterPQ!$B$8:$L$8,1,11),0),IF(NOT(ISNUMBER(INDEX(InverterPQ!$B$8:$L$8,1,MATCH($D$79,InverterPQ!$B$4:$L$4,1)))),0,IF($D$79=INDEX(InverterPQ!$B$4:$L$4,1,MATCH($D$79,InverterPQ!$B$4:$L$4,1)),INDEX(InverterPQ!$B$8:$L$8,1,MATCH($D$79,InverterPQ!$B$4:$L$4,1)),IF(NOT(ISNUMBER(INDEX(InverterPQ!$B$8:$L$8,1,MATCH($D$79,InverterPQ!$B$4:$L$4,1)+1))),0,INDEX(InverterPQ!$B$8:$L$8,1,MATCH($D$79,InverterPQ!$B$4:$L$4,1))+(INDEX(InverterPQ!$B$8:$L$8,1,MATCH($D$79,InverterPQ!$B$4:$L$4,1)+1)-INDEX(InverterPQ!$B$8:$L$8,1,MATCH($D$79,InverterPQ!$B$4:$L$4,1)))*($D$79-INDEX(InverterPQ!$B$4:$L$4,1,MATCH($D$79,InverterPQ!$B$4:$L$4,1)))/(INDEX(InverterPQ!$B$4:$L$4,1,MATCH($D$79,InverterPQ!$B$4:$L$4,1)+1)-INDEX(InverterPQ!$B$4:$L$4,1,MATCH($D$79,InverterPQ!$B$4:$L$4,1)))))))</f>
        <v/>
      </c>
      <c r="J79" s="27">
        <f>Sizing!$B$46*I79/100*Sizing!$B$34/1000+Sizing!$B$41-Sizing!$B$21</f>
        <v/>
      </c>
      <c r="K79" s="27">
        <f>Sizing!$B$46*I79/100*Sizing!$B$34/1000+Sizing!$B$21</f>
        <v/>
      </c>
      <c r="L79" s="27">
        <f>IF(A79&lt;GridCodes!$D$18/100-0.0001,0,$I$6*IF(GridCodes!$E$18&lt;=GridCodes!$D$18,1,MIN(1,(A79-GridCodes!$D$18/100)/(GridCodes!$E$18/100-GridCodes!$D$18/100))))</f>
        <v/>
      </c>
      <c r="M79" s="27">
        <f>IF(A79&lt;GridCodes!$D$18/100-0.0001,0,IF(GridCodes!$F$18=1,IF(A79&gt;=0.5,$I$6,$I$6*0.12/0.33+($I$6-$I$6*0.12/0.33)*(A79-GridCodes!$D$18/100)/(0.5-GridCodes!$D$18/100)),$I$6*IF(GridCodes!$E$18&lt;=GridCodes!$D$18,1,MIN(1,(A79-GridCodes!$D$18/100)/(GridCodes!$E$18/100-GridCodes!$D$18/100)))))</f>
        <v/>
      </c>
      <c r="N79" s="27">
        <f>-K79</f>
        <v/>
      </c>
      <c r="O79" s="22">
        <f>IF(AND(MAX(0,J79)&gt;=L79-0.001,MAX(0,K79)&gt;=M79-0.001),"PASS","FAIL")</f>
        <v/>
      </c>
      <c r="P79" s="8">
        <f>-M79</f>
        <v/>
      </c>
    </row>
    <row r="80">
      <c r="A80" s="29" t="n">
        <v>0.825</v>
      </c>
      <c r="B80" s="28">
        <f>A80*Sizing!$B$7</f>
        <v/>
      </c>
      <c r="C80" s="28">
        <f>A80*Sizing!$B$31*1000/Sizing!$B$46</f>
        <v/>
      </c>
      <c r="D80" s="29">
        <f>C80/Sizing!$B$34</f>
        <v/>
      </c>
      <c r="I80" s="28">
        <f>IF($D$80&gt;=1,IF(ISNUMBER(INDEX(InverterPQ!$B$8:$L$8,1,11)),INDEX(InverterPQ!$B$8:$L$8,1,11),0),IF(NOT(ISNUMBER(INDEX(InverterPQ!$B$8:$L$8,1,MATCH($D$80,InverterPQ!$B$4:$L$4,1)))),0,IF($D$80=INDEX(InverterPQ!$B$4:$L$4,1,MATCH($D$80,InverterPQ!$B$4:$L$4,1)),INDEX(InverterPQ!$B$8:$L$8,1,MATCH($D$80,InverterPQ!$B$4:$L$4,1)),IF(NOT(ISNUMBER(INDEX(InverterPQ!$B$8:$L$8,1,MATCH($D$80,InverterPQ!$B$4:$L$4,1)+1))),0,INDEX(InverterPQ!$B$8:$L$8,1,MATCH($D$80,InverterPQ!$B$4:$L$4,1))+(INDEX(InverterPQ!$B$8:$L$8,1,MATCH($D$80,InverterPQ!$B$4:$L$4,1)+1)-INDEX(InverterPQ!$B$8:$L$8,1,MATCH($D$80,InverterPQ!$B$4:$L$4,1)))*($D$80-INDEX(InverterPQ!$B$4:$L$4,1,MATCH($D$80,InverterPQ!$B$4:$L$4,1)))/(INDEX(InverterPQ!$B$4:$L$4,1,MATCH($D$80,InverterPQ!$B$4:$L$4,1)+1)-INDEX(InverterPQ!$B$4:$L$4,1,MATCH($D$80,InverterPQ!$B$4:$L$4,1)))))))</f>
        <v/>
      </c>
      <c r="J80" s="27">
        <f>Sizing!$B$46*I80/100*Sizing!$B$34/1000+Sizing!$B$41-Sizing!$B$21</f>
        <v/>
      </c>
      <c r="K80" s="27">
        <f>Sizing!$B$46*I80/100*Sizing!$B$34/1000+Sizing!$B$21</f>
        <v/>
      </c>
      <c r="L80" s="27">
        <f>IF(A80&lt;GridCodes!$D$18/100-0.0001,0,$I$6*IF(GridCodes!$E$18&lt;=GridCodes!$D$18,1,MIN(1,(A80-GridCodes!$D$18/100)/(GridCodes!$E$18/100-GridCodes!$D$18/100))))</f>
        <v/>
      </c>
      <c r="M80" s="27">
        <f>IF(A80&lt;GridCodes!$D$18/100-0.0001,0,IF(GridCodes!$F$18=1,IF(A80&gt;=0.5,$I$6,$I$6*0.12/0.33+($I$6-$I$6*0.12/0.33)*(A80-GridCodes!$D$18/100)/(0.5-GridCodes!$D$18/100)),$I$6*IF(GridCodes!$E$18&lt;=GridCodes!$D$18,1,MIN(1,(A80-GridCodes!$D$18/100)/(GridCodes!$E$18/100-GridCodes!$D$18/100)))))</f>
        <v/>
      </c>
      <c r="N80" s="27">
        <f>-K80</f>
        <v/>
      </c>
      <c r="O80" s="22">
        <f>IF(AND(MAX(0,J80)&gt;=L80-0.001,MAX(0,K80)&gt;=M80-0.001),"PASS","FAIL")</f>
        <v/>
      </c>
      <c r="P80" s="8">
        <f>-M80</f>
        <v/>
      </c>
    </row>
    <row r="81">
      <c r="A81" s="29" t="n">
        <v>0.85</v>
      </c>
      <c r="B81" s="28">
        <f>A81*Sizing!$B$7</f>
        <v/>
      </c>
      <c r="C81" s="28">
        <f>A81*Sizing!$B$31*1000/Sizing!$B$46</f>
        <v/>
      </c>
      <c r="D81" s="29">
        <f>C81/Sizing!$B$34</f>
        <v/>
      </c>
      <c r="I81" s="28">
        <f>IF($D$81&gt;=1,IF(ISNUMBER(INDEX(InverterPQ!$B$8:$L$8,1,11)),INDEX(InverterPQ!$B$8:$L$8,1,11),0),IF(NOT(ISNUMBER(INDEX(InverterPQ!$B$8:$L$8,1,MATCH($D$81,InverterPQ!$B$4:$L$4,1)))),0,IF($D$81=INDEX(InverterPQ!$B$4:$L$4,1,MATCH($D$81,InverterPQ!$B$4:$L$4,1)),INDEX(InverterPQ!$B$8:$L$8,1,MATCH($D$81,InverterPQ!$B$4:$L$4,1)),IF(NOT(ISNUMBER(INDEX(InverterPQ!$B$8:$L$8,1,MATCH($D$81,InverterPQ!$B$4:$L$4,1)+1))),0,INDEX(InverterPQ!$B$8:$L$8,1,MATCH($D$81,InverterPQ!$B$4:$L$4,1))+(INDEX(InverterPQ!$B$8:$L$8,1,MATCH($D$81,InverterPQ!$B$4:$L$4,1)+1)-INDEX(InverterPQ!$B$8:$L$8,1,MATCH($D$81,InverterPQ!$B$4:$L$4,1)))*($D$81-INDEX(InverterPQ!$B$4:$L$4,1,MATCH($D$81,InverterPQ!$B$4:$L$4,1)))/(INDEX(InverterPQ!$B$4:$L$4,1,MATCH($D$81,InverterPQ!$B$4:$L$4,1)+1)-INDEX(InverterPQ!$B$4:$L$4,1,MATCH($D$81,InverterPQ!$B$4:$L$4,1)))))))</f>
        <v/>
      </c>
      <c r="J81" s="27">
        <f>Sizing!$B$46*I81/100*Sizing!$B$34/1000+Sizing!$B$41-Sizing!$B$21</f>
        <v/>
      </c>
      <c r="K81" s="27">
        <f>Sizing!$B$46*I81/100*Sizing!$B$34/1000+Sizing!$B$21</f>
        <v/>
      </c>
      <c r="L81" s="27">
        <f>IF(A81&lt;GridCodes!$D$18/100-0.0001,0,$I$6*IF(GridCodes!$E$18&lt;=GridCodes!$D$18,1,MIN(1,(A81-GridCodes!$D$18/100)/(GridCodes!$E$18/100-GridCodes!$D$18/100))))</f>
        <v/>
      </c>
      <c r="M81" s="27">
        <f>IF(A81&lt;GridCodes!$D$18/100-0.0001,0,IF(GridCodes!$F$18=1,IF(A81&gt;=0.5,$I$6,$I$6*0.12/0.33+($I$6-$I$6*0.12/0.33)*(A81-GridCodes!$D$18/100)/(0.5-GridCodes!$D$18/100)),$I$6*IF(GridCodes!$E$18&lt;=GridCodes!$D$18,1,MIN(1,(A81-GridCodes!$D$18/100)/(GridCodes!$E$18/100-GridCodes!$D$18/100)))))</f>
        <v/>
      </c>
      <c r="N81" s="27">
        <f>-K81</f>
        <v/>
      </c>
      <c r="O81" s="22">
        <f>IF(AND(MAX(0,J81)&gt;=L81-0.001,MAX(0,K81)&gt;=M81-0.001),"PASS","FAIL")</f>
        <v/>
      </c>
      <c r="P81" s="8">
        <f>-M81</f>
        <v/>
      </c>
    </row>
    <row r="82">
      <c r="A82" s="29" t="n">
        <v>0.875</v>
      </c>
      <c r="B82" s="28">
        <f>A82*Sizing!$B$7</f>
        <v/>
      </c>
      <c r="C82" s="28">
        <f>A82*Sizing!$B$31*1000/Sizing!$B$46</f>
        <v/>
      </c>
      <c r="D82" s="29">
        <f>C82/Sizing!$B$34</f>
        <v/>
      </c>
      <c r="I82" s="28">
        <f>IF($D$82&gt;=1,IF(ISNUMBER(INDEX(InverterPQ!$B$8:$L$8,1,11)),INDEX(InverterPQ!$B$8:$L$8,1,11),0),IF(NOT(ISNUMBER(INDEX(InverterPQ!$B$8:$L$8,1,MATCH($D$82,InverterPQ!$B$4:$L$4,1)))),0,IF($D$82=INDEX(InverterPQ!$B$4:$L$4,1,MATCH($D$82,InverterPQ!$B$4:$L$4,1)),INDEX(InverterPQ!$B$8:$L$8,1,MATCH($D$82,InverterPQ!$B$4:$L$4,1)),IF(NOT(ISNUMBER(INDEX(InverterPQ!$B$8:$L$8,1,MATCH($D$82,InverterPQ!$B$4:$L$4,1)+1))),0,INDEX(InverterPQ!$B$8:$L$8,1,MATCH($D$82,InverterPQ!$B$4:$L$4,1))+(INDEX(InverterPQ!$B$8:$L$8,1,MATCH($D$82,InverterPQ!$B$4:$L$4,1)+1)-INDEX(InverterPQ!$B$8:$L$8,1,MATCH($D$82,InverterPQ!$B$4:$L$4,1)))*($D$82-INDEX(InverterPQ!$B$4:$L$4,1,MATCH($D$82,InverterPQ!$B$4:$L$4,1)))/(INDEX(InverterPQ!$B$4:$L$4,1,MATCH($D$82,InverterPQ!$B$4:$L$4,1)+1)-INDEX(InverterPQ!$B$4:$L$4,1,MATCH($D$82,InverterPQ!$B$4:$L$4,1)))))))</f>
        <v/>
      </c>
      <c r="J82" s="27">
        <f>Sizing!$B$46*I82/100*Sizing!$B$34/1000+Sizing!$B$41-Sizing!$B$21</f>
        <v/>
      </c>
      <c r="K82" s="27">
        <f>Sizing!$B$46*I82/100*Sizing!$B$34/1000+Sizing!$B$21</f>
        <v/>
      </c>
      <c r="L82" s="27">
        <f>IF(A82&lt;GridCodes!$D$18/100-0.0001,0,$I$6*IF(GridCodes!$E$18&lt;=GridCodes!$D$18,1,MIN(1,(A82-GridCodes!$D$18/100)/(GridCodes!$E$18/100-GridCodes!$D$18/100))))</f>
        <v/>
      </c>
      <c r="M82" s="27">
        <f>IF(A82&lt;GridCodes!$D$18/100-0.0001,0,IF(GridCodes!$F$18=1,IF(A82&gt;=0.5,$I$6,$I$6*0.12/0.33+($I$6-$I$6*0.12/0.33)*(A82-GridCodes!$D$18/100)/(0.5-GridCodes!$D$18/100)),$I$6*IF(GridCodes!$E$18&lt;=GridCodes!$D$18,1,MIN(1,(A82-GridCodes!$D$18/100)/(GridCodes!$E$18/100-GridCodes!$D$18/100)))))</f>
        <v/>
      </c>
      <c r="N82" s="27">
        <f>-K82</f>
        <v/>
      </c>
      <c r="O82" s="22">
        <f>IF(AND(MAX(0,J82)&gt;=L82-0.001,MAX(0,K82)&gt;=M82-0.001),"PASS","FAIL")</f>
        <v/>
      </c>
      <c r="P82" s="8">
        <f>-M82</f>
        <v/>
      </c>
    </row>
    <row r="83">
      <c r="A83" s="29" t="n">
        <v>0.9</v>
      </c>
      <c r="B83" s="28">
        <f>A83*Sizing!$B$7</f>
        <v/>
      </c>
      <c r="C83" s="28">
        <f>A83*Sizing!$B$31*1000/Sizing!$B$46</f>
        <v/>
      </c>
      <c r="D83" s="29">
        <f>C83/Sizing!$B$34</f>
        <v/>
      </c>
      <c r="I83" s="28">
        <f>IF($D$83&gt;=1,IF(ISNUMBER(INDEX(InverterPQ!$B$8:$L$8,1,11)),INDEX(InverterPQ!$B$8:$L$8,1,11),0),IF(NOT(ISNUMBER(INDEX(InverterPQ!$B$8:$L$8,1,MATCH($D$83,InverterPQ!$B$4:$L$4,1)))),0,IF($D$83=INDEX(InverterPQ!$B$4:$L$4,1,MATCH($D$83,InverterPQ!$B$4:$L$4,1)),INDEX(InverterPQ!$B$8:$L$8,1,MATCH($D$83,InverterPQ!$B$4:$L$4,1)),IF(NOT(ISNUMBER(INDEX(InverterPQ!$B$8:$L$8,1,MATCH($D$83,InverterPQ!$B$4:$L$4,1)+1))),0,INDEX(InverterPQ!$B$8:$L$8,1,MATCH($D$83,InverterPQ!$B$4:$L$4,1))+(INDEX(InverterPQ!$B$8:$L$8,1,MATCH($D$83,InverterPQ!$B$4:$L$4,1)+1)-INDEX(InverterPQ!$B$8:$L$8,1,MATCH($D$83,InverterPQ!$B$4:$L$4,1)))*($D$83-INDEX(InverterPQ!$B$4:$L$4,1,MATCH($D$83,InverterPQ!$B$4:$L$4,1)))/(INDEX(InverterPQ!$B$4:$L$4,1,MATCH($D$83,InverterPQ!$B$4:$L$4,1)+1)-INDEX(InverterPQ!$B$4:$L$4,1,MATCH($D$83,InverterPQ!$B$4:$L$4,1)))))))</f>
        <v/>
      </c>
      <c r="J83" s="27">
        <f>Sizing!$B$46*I83/100*Sizing!$B$34/1000+Sizing!$B$41-Sizing!$B$21</f>
        <v/>
      </c>
      <c r="K83" s="27">
        <f>Sizing!$B$46*I83/100*Sizing!$B$34/1000+Sizing!$B$21</f>
        <v/>
      </c>
      <c r="L83" s="27">
        <f>IF(A83&lt;GridCodes!$D$18/100-0.0001,0,$I$6*IF(GridCodes!$E$18&lt;=GridCodes!$D$18,1,MIN(1,(A83-GridCodes!$D$18/100)/(GridCodes!$E$18/100-GridCodes!$D$18/100))))</f>
        <v/>
      </c>
      <c r="M83" s="27">
        <f>IF(A83&lt;GridCodes!$D$18/100-0.0001,0,IF(GridCodes!$F$18=1,IF(A83&gt;=0.5,$I$6,$I$6*0.12/0.33+($I$6-$I$6*0.12/0.33)*(A83-GridCodes!$D$18/100)/(0.5-GridCodes!$D$18/100)),$I$6*IF(GridCodes!$E$18&lt;=GridCodes!$D$18,1,MIN(1,(A83-GridCodes!$D$18/100)/(GridCodes!$E$18/100-GridCodes!$D$18/100)))))</f>
        <v/>
      </c>
      <c r="N83" s="27">
        <f>-K83</f>
        <v/>
      </c>
      <c r="O83" s="22">
        <f>IF(AND(MAX(0,J83)&gt;=L83-0.001,MAX(0,K83)&gt;=M83-0.001),"PASS","FAIL")</f>
        <v/>
      </c>
      <c r="P83" s="8">
        <f>-M83</f>
        <v/>
      </c>
    </row>
    <row r="84">
      <c r="A84" s="29" t="n">
        <v>0.925</v>
      </c>
      <c r="B84" s="28">
        <f>A84*Sizing!$B$7</f>
        <v/>
      </c>
      <c r="C84" s="28">
        <f>A84*Sizing!$B$31*1000/Sizing!$B$46</f>
        <v/>
      </c>
      <c r="D84" s="29">
        <f>C84/Sizing!$B$34</f>
        <v/>
      </c>
      <c r="I84" s="28">
        <f>IF($D$84&gt;=1,IF(ISNUMBER(INDEX(InverterPQ!$B$8:$L$8,1,11)),INDEX(InverterPQ!$B$8:$L$8,1,11),0),IF(NOT(ISNUMBER(INDEX(InverterPQ!$B$8:$L$8,1,MATCH($D$84,InverterPQ!$B$4:$L$4,1)))),0,IF($D$84=INDEX(InverterPQ!$B$4:$L$4,1,MATCH($D$84,InverterPQ!$B$4:$L$4,1)),INDEX(InverterPQ!$B$8:$L$8,1,MATCH($D$84,InverterPQ!$B$4:$L$4,1)),IF(NOT(ISNUMBER(INDEX(InverterPQ!$B$8:$L$8,1,MATCH($D$84,InverterPQ!$B$4:$L$4,1)+1))),0,INDEX(InverterPQ!$B$8:$L$8,1,MATCH($D$84,InverterPQ!$B$4:$L$4,1))+(INDEX(InverterPQ!$B$8:$L$8,1,MATCH($D$84,InverterPQ!$B$4:$L$4,1)+1)-INDEX(InverterPQ!$B$8:$L$8,1,MATCH($D$84,InverterPQ!$B$4:$L$4,1)))*($D$84-INDEX(InverterPQ!$B$4:$L$4,1,MATCH($D$84,InverterPQ!$B$4:$L$4,1)))/(INDEX(InverterPQ!$B$4:$L$4,1,MATCH($D$84,InverterPQ!$B$4:$L$4,1)+1)-INDEX(InverterPQ!$B$4:$L$4,1,MATCH($D$84,InverterPQ!$B$4:$L$4,1)))))))</f>
        <v/>
      </c>
      <c r="J84" s="27">
        <f>Sizing!$B$46*I84/100*Sizing!$B$34/1000+Sizing!$B$41-Sizing!$B$21</f>
        <v/>
      </c>
      <c r="K84" s="27">
        <f>Sizing!$B$46*I84/100*Sizing!$B$34/1000+Sizing!$B$21</f>
        <v/>
      </c>
      <c r="L84" s="27">
        <f>IF(A84&lt;GridCodes!$D$18/100-0.0001,0,$I$6*IF(GridCodes!$E$18&lt;=GridCodes!$D$18,1,MIN(1,(A84-GridCodes!$D$18/100)/(GridCodes!$E$18/100-GridCodes!$D$18/100))))</f>
        <v/>
      </c>
      <c r="M84" s="27">
        <f>IF(A84&lt;GridCodes!$D$18/100-0.0001,0,IF(GridCodes!$F$18=1,IF(A84&gt;=0.5,$I$6,$I$6*0.12/0.33+($I$6-$I$6*0.12/0.33)*(A84-GridCodes!$D$18/100)/(0.5-GridCodes!$D$18/100)),$I$6*IF(GridCodes!$E$18&lt;=GridCodes!$D$18,1,MIN(1,(A84-GridCodes!$D$18/100)/(GridCodes!$E$18/100-GridCodes!$D$18/100)))))</f>
        <v/>
      </c>
      <c r="N84" s="27">
        <f>-K84</f>
        <v/>
      </c>
      <c r="O84" s="22">
        <f>IF(AND(MAX(0,J84)&gt;=L84-0.001,MAX(0,K84)&gt;=M84-0.001),"PASS","FAIL")</f>
        <v/>
      </c>
      <c r="P84" s="8">
        <f>-M84</f>
        <v/>
      </c>
    </row>
    <row r="85">
      <c r="A85" s="29" t="n">
        <v>0.95</v>
      </c>
      <c r="B85" s="28">
        <f>A85*Sizing!$B$7</f>
        <v/>
      </c>
      <c r="C85" s="28">
        <f>A85*Sizing!$B$31*1000/Sizing!$B$46</f>
        <v/>
      </c>
      <c r="D85" s="29">
        <f>C85/Sizing!$B$34</f>
        <v/>
      </c>
      <c r="I85" s="28">
        <f>IF($D$85&gt;=1,IF(ISNUMBER(INDEX(InverterPQ!$B$8:$L$8,1,11)),INDEX(InverterPQ!$B$8:$L$8,1,11),0),IF(NOT(ISNUMBER(INDEX(InverterPQ!$B$8:$L$8,1,MATCH($D$85,InverterPQ!$B$4:$L$4,1)))),0,IF($D$85=INDEX(InverterPQ!$B$4:$L$4,1,MATCH($D$85,InverterPQ!$B$4:$L$4,1)),INDEX(InverterPQ!$B$8:$L$8,1,MATCH($D$85,InverterPQ!$B$4:$L$4,1)),IF(NOT(ISNUMBER(INDEX(InverterPQ!$B$8:$L$8,1,MATCH($D$85,InverterPQ!$B$4:$L$4,1)+1))),0,INDEX(InverterPQ!$B$8:$L$8,1,MATCH($D$85,InverterPQ!$B$4:$L$4,1))+(INDEX(InverterPQ!$B$8:$L$8,1,MATCH($D$85,InverterPQ!$B$4:$L$4,1)+1)-INDEX(InverterPQ!$B$8:$L$8,1,MATCH($D$85,InverterPQ!$B$4:$L$4,1)))*($D$85-INDEX(InverterPQ!$B$4:$L$4,1,MATCH($D$85,InverterPQ!$B$4:$L$4,1)))/(INDEX(InverterPQ!$B$4:$L$4,1,MATCH($D$85,InverterPQ!$B$4:$L$4,1)+1)-INDEX(InverterPQ!$B$4:$L$4,1,MATCH($D$85,InverterPQ!$B$4:$L$4,1)))))))</f>
        <v/>
      </c>
      <c r="J85" s="27">
        <f>Sizing!$B$46*I85/100*Sizing!$B$34/1000+Sizing!$B$41-Sizing!$B$21</f>
        <v/>
      </c>
      <c r="K85" s="27">
        <f>Sizing!$B$46*I85/100*Sizing!$B$34/1000+Sizing!$B$21</f>
        <v/>
      </c>
      <c r="L85" s="27">
        <f>IF(A85&lt;GridCodes!$D$18/100-0.0001,0,$I$6*IF(GridCodes!$E$18&lt;=GridCodes!$D$18,1,MIN(1,(A85-GridCodes!$D$18/100)/(GridCodes!$E$18/100-GridCodes!$D$18/100))))</f>
        <v/>
      </c>
      <c r="M85" s="27">
        <f>IF(A85&lt;GridCodes!$D$18/100-0.0001,0,IF(GridCodes!$F$18=1,IF(A85&gt;=0.5,$I$6,$I$6*0.12/0.33+($I$6-$I$6*0.12/0.33)*(A85-GridCodes!$D$18/100)/(0.5-GridCodes!$D$18/100)),$I$6*IF(GridCodes!$E$18&lt;=GridCodes!$D$18,1,MIN(1,(A85-GridCodes!$D$18/100)/(GridCodes!$E$18/100-GridCodes!$D$18/100)))))</f>
        <v/>
      </c>
      <c r="N85" s="27">
        <f>-K85</f>
        <v/>
      </c>
      <c r="O85" s="22">
        <f>IF(AND(MAX(0,J85)&gt;=L85-0.001,MAX(0,K85)&gt;=M85-0.001),"PASS","FAIL")</f>
        <v/>
      </c>
      <c r="P85" s="8">
        <f>-M85</f>
        <v/>
      </c>
    </row>
    <row r="86">
      <c r="A86" s="29" t="n">
        <v>0.975</v>
      </c>
      <c r="B86" s="28">
        <f>A86*Sizing!$B$7</f>
        <v/>
      </c>
      <c r="C86" s="28">
        <f>A86*Sizing!$B$31*1000/Sizing!$B$46</f>
        <v/>
      </c>
      <c r="D86" s="29">
        <f>C86/Sizing!$B$34</f>
        <v/>
      </c>
      <c r="I86" s="28">
        <f>IF($D$86&gt;=1,IF(ISNUMBER(INDEX(InverterPQ!$B$8:$L$8,1,11)),INDEX(InverterPQ!$B$8:$L$8,1,11),0),IF(NOT(ISNUMBER(INDEX(InverterPQ!$B$8:$L$8,1,MATCH($D$86,InverterPQ!$B$4:$L$4,1)))),0,IF($D$86=INDEX(InverterPQ!$B$4:$L$4,1,MATCH($D$86,InverterPQ!$B$4:$L$4,1)),INDEX(InverterPQ!$B$8:$L$8,1,MATCH($D$86,InverterPQ!$B$4:$L$4,1)),IF(NOT(ISNUMBER(INDEX(InverterPQ!$B$8:$L$8,1,MATCH($D$86,InverterPQ!$B$4:$L$4,1)+1))),0,INDEX(InverterPQ!$B$8:$L$8,1,MATCH($D$86,InverterPQ!$B$4:$L$4,1))+(INDEX(InverterPQ!$B$8:$L$8,1,MATCH($D$86,InverterPQ!$B$4:$L$4,1)+1)-INDEX(InverterPQ!$B$8:$L$8,1,MATCH($D$86,InverterPQ!$B$4:$L$4,1)))*($D$86-INDEX(InverterPQ!$B$4:$L$4,1,MATCH($D$86,InverterPQ!$B$4:$L$4,1)))/(INDEX(InverterPQ!$B$4:$L$4,1,MATCH($D$86,InverterPQ!$B$4:$L$4,1)+1)-INDEX(InverterPQ!$B$4:$L$4,1,MATCH($D$86,InverterPQ!$B$4:$L$4,1)))))))</f>
        <v/>
      </c>
      <c r="J86" s="27">
        <f>Sizing!$B$46*I86/100*Sizing!$B$34/1000+Sizing!$B$41-Sizing!$B$21</f>
        <v/>
      </c>
      <c r="K86" s="27">
        <f>Sizing!$B$46*I86/100*Sizing!$B$34/1000+Sizing!$B$21</f>
        <v/>
      </c>
      <c r="L86" s="27">
        <f>IF(A86&lt;GridCodes!$D$18/100-0.0001,0,$I$6*IF(GridCodes!$E$18&lt;=GridCodes!$D$18,1,MIN(1,(A86-GridCodes!$D$18/100)/(GridCodes!$E$18/100-GridCodes!$D$18/100))))</f>
        <v/>
      </c>
      <c r="M86" s="27">
        <f>IF(A86&lt;GridCodes!$D$18/100-0.0001,0,IF(GridCodes!$F$18=1,IF(A86&gt;=0.5,$I$6,$I$6*0.12/0.33+($I$6-$I$6*0.12/0.33)*(A86-GridCodes!$D$18/100)/(0.5-GridCodes!$D$18/100)),$I$6*IF(GridCodes!$E$18&lt;=GridCodes!$D$18,1,MIN(1,(A86-GridCodes!$D$18/100)/(GridCodes!$E$18/100-GridCodes!$D$18/100)))))</f>
        <v/>
      </c>
      <c r="N86" s="27">
        <f>-K86</f>
        <v/>
      </c>
      <c r="O86" s="22">
        <f>IF(AND(MAX(0,J86)&gt;=L86-0.001,MAX(0,K86)&gt;=M86-0.001),"PASS","FAIL")</f>
        <v/>
      </c>
      <c r="P86" s="8">
        <f>-M86</f>
        <v/>
      </c>
    </row>
    <row r="87">
      <c r="A87" s="29" t="n">
        <v>1</v>
      </c>
      <c r="B87" s="28">
        <f>A87*Sizing!$B$7</f>
        <v/>
      </c>
      <c r="C87" s="28">
        <f>A87*Sizing!$B$31*1000/Sizing!$B$46</f>
        <v/>
      </c>
      <c r="D87" s="29">
        <f>C87/Sizing!$B$34</f>
        <v/>
      </c>
      <c r="I87" s="28">
        <f>IF($D$87&gt;=1,IF(ISNUMBER(INDEX(InverterPQ!$B$8:$L$8,1,11)),INDEX(InverterPQ!$B$8:$L$8,1,11),0),IF(NOT(ISNUMBER(INDEX(InverterPQ!$B$8:$L$8,1,MATCH($D$87,InverterPQ!$B$4:$L$4,1)))),0,IF($D$87=INDEX(InverterPQ!$B$4:$L$4,1,MATCH($D$87,InverterPQ!$B$4:$L$4,1)),INDEX(InverterPQ!$B$8:$L$8,1,MATCH($D$87,InverterPQ!$B$4:$L$4,1)),IF(NOT(ISNUMBER(INDEX(InverterPQ!$B$8:$L$8,1,MATCH($D$87,InverterPQ!$B$4:$L$4,1)+1))),0,INDEX(InverterPQ!$B$8:$L$8,1,MATCH($D$87,InverterPQ!$B$4:$L$4,1))+(INDEX(InverterPQ!$B$8:$L$8,1,MATCH($D$87,InverterPQ!$B$4:$L$4,1)+1)-INDEX(InverterPQ!$B$8:$L$8,1,MATCH($D$87,InverterPQ!$B$4:$L$4,1)))*($D$87-INDEX(InverterPQ!$B$4:$L$4,1,MATCH($D$87,InverterPQ!$B$4:$L$4,1)))/(INDEX(InverterPQ!$B$4:$L$4,1,MATCH($D$87,InverterPQ!$B$4:$L$4,1)+1)-INDEX(InverterPQ!$B$4:$L$4,1,MATCH($D$87,InverterPQ!$B$4:$L$4,1)))))))</f>
        <v/>
      </c>
      <c r="J87" s="27">
        <f>Sizing!$B$46*I87/100*Sizing!$B$34/1000+Sizing!$B$41-Sizing!$B$21</f>
        <v/>
      </c>
      <c r="K87" s="27">
        <f>Sizing!$B$46*I87/100*Sizing!$B$34/1000+Sizing!$B$21</f>
        <v/>
      </c>
      <c r="L87" s="27">
        <f>IF(A87&lt;GridCodes!$D$18/100-0.0001,0,$I$6*IF(GridCodes!$E$18&lt;=GridCodes!$D$18,1,MIN(1,(A87-GridCodes!$D$18/100)/(GridCodes!$E$18/100-GridCodes!$D$18/100))))</f>
        <v/>
      </c>
      <c r="M87" s="27">
        <f>IF(A87&lt;GridCodes!$D$18/100-0.0001,0,IF(GridCodes!$F$18=1,IF(A87&gt;=0.5,$I$6,$I$6*0.12/0.33+($I$6-$I$6*0.12/0.33)*(A87-GridCodes!$D$18/100)/(0.5-GridCodes!$D$18/100)),$I$6*IF(GridCodes!$E$18&lt;=GridCodes!$D$18,1,MIN(1,(A87-GridCodes!$D$18/100)/(GridCodes!$E$18/100-GridCodes!$D$18/100)))))</f>
        <v/>
      </c>
      <c r="N87" s="27">
        <f>-K87</f>
        <v/>
      </c>
      <c r="O87" s="22">
        <f>IF(AND(MAX(0,J87)&gt;=L87-0.001,MAX(0,K87)&gt;=M87-0.001),"PASS","FAIL")</f>
        <v/>
      </c>
      <c r="P87" s="8">
        <f>-M87</f>
        <v/>
      </c>
    </row>
    <row r="89">
      <c r="A89" s="2" t="inlineStr">
        <is>
          <t>MSOL</t>
        </is>
      </c>
      <c r="M89">
        <f>-$I$6*1.3</f>
        <v/>
      </c>
      <c r="N89">
        <f>GridCodes!$D$18/100*Sizing!$B$7</f>
        <v/>
      </c>
    </row>
    <row r="90">
      <c r="M90">
        <f>$I$6*1.3</f>
        <v/>
      </c>
      <c r="N90">
        <f>GridCodes!$D$18/100*Sizing!$B$7</f>
        <v/>
      </c>
    </row>
    <row r="92">
      <c r="A92" s="2" t="inlineStr">
        <is>
          <t>OVERALL VERDICT</t>
        </is>
      </c>
      <c r="I92" s="31">
        <f>IF(COUNTIF(O19:O43,"FAIL")+COUNTIF(O47:O87,"FAIL")=0,"COMPLIANT","NOT COMPLIANT")</f>
        <v/>
      </c>
    </row>
  </sheetData>
  <mergeCells count="10">
    <mergeCell ref="A4:B4"/>
    <mergeCell ref="A92:B92"/>
    <mergeCell ref="A5:B5"/>
    <mergeCell ref="A1:O1"/>
    <mergeCell ref="A45:O45"/>
    <mergeCell ref="A8:O8"/>
    <mergeCell ref="A17:O17"/>
    <mergeCell ref="I92:K92"/>
    <mergeCell ref="A6:B6"/>
    <mergeCell ref="A3:O3"/>
  </mergeCells>
  <conditionalFormatting sqref="O19:O43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O47:O87">
    <cfRule type="cellIs" priority="3" operator="equal" dxfId="0">
      <formula>"PASS"</formula>
    </cfRule>
    <cfRule type="cellIs" priority="4" operator="equal" dxfId="1">
      <formula>"FAIL"</formula>
    </cfRule>
  </conditionalFormatting>
  <conditionalFormatting sqref="I92">
    <cfRule type="cellIs" priority="5" operator="equal" dxfId="0">
      <formula>"COMPLIANT"</formula>
    </cfRule>
    <cfRule type="cellIs" priority="6" operator="equal" dxfId="1">
      <formula>"NOT COMPLIANT"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2026-07-17T07:34:31Z</dcterms:created>
  <dcterms:modified xsi:type="dcterms:W3CDTF">2026-07-17T07:34:31Z</dcterms:modified>
</cp:coreProperties>
</file>