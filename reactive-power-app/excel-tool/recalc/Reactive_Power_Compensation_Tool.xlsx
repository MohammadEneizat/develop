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izing" sheetId="2" state="visible" r:id="rId4"/>
    <sheet name="GridCodes" sheetId="3" state="visible" r:id="rId5"/>
    <sheet name="InverterPQ" sheetId="4" state="visible" r:id="rId6"/>
    <sheet name="Compli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<sst xmlns="http://schemas.openxmlformats.org/spreadsheetml/2006/main" count="179" uniqueCount="145">
  <si>
    <t xml:space="preserve">REACTIVE POWER COMPENSATION SIZING TOOL</t>
  </si>
  <si>
    <t xml:space="preserve">A standalone Excel version of the reactive power sizing app. Sheets:</t>
  </si>
  <si>
    <t xml:space="preserve">  1. Sizing — the calculation chain: grid demand, transformer consumption, losses, inverter sizing, checks.</t>
  </si>
  <si>
    <t xml:space="preserve">  2. GridCodes — database of published grid-code reactive requirements; pick one from the dropdown.</t>
  </si>
  <si>
    <t xml:space="preserve">  3. InverterPQ — the manufacturer's Q(t)-mode capability table (%% of rated kVA per voltage row and loading).</t>
  </si>
  <si>
    <t xml:space="preserve">  4. Compliance — V-Q at Registered Capacity and P-Q at nominal voltage vs the selected grid code, with charts.</t>
  </si>
  <si>
    <t xml:space="preserve">Colour key:  yellow = input cells,  grey = calculated,  green = key results.</t>
  </si>
  <si>
    <t xml:space="preserve">Notes:</t>
  </si>
  <si>
    <t xml:space="preserve">  - Inverter count: leave the manual-count cell blank to auto-size (meets both reactive and delivery needs).</t>
  </si>
  <si>
    <t xml:space="preserve">  - Reactive capability precedence: capability table (if 'Use table' = Yes) &gt; manual kVAr override &gt; sqrt(S^2-P^2).</t>
  </si>
  <si>
    <t xml:space="preserve">  - Compliance dispatches inverters at (grid limit + losses) / count, as in a G99 Type C study.</t>
  </si>
  <si>
    <t xml:space="preserve">  - Export capability is net of transformer consumption; absorption is aided by it; capacitor bank exports only.</t>
  </si>
  <si>
    <t xml:space="preserve">  - Grid-code presets are typical published values - always confirm against your interconnection agreement.</t>
  </si>
  <si>
    <t xml:space="preserve">  - This tool is an analytic screening aid, not a substitute for a network load-flow study.</t>
  </si>
  <si>
    <t xml:space="preserve">PROJECT</t>
  </si>
  <si>
    <t xml:space="preserve">Project name</t>
  </si>
  <si>
    <t xml:space="preserve">Belvior</t>
  </si>
  <si>
    <t xml:space="preserve">STEP 1 — INITIAL SIZING</t>
  </si>
  <si>
    <t xml:space="preserve">Grid injection limit / Registered Capacity</t>
  </si>
  <si>
    <t xml:space="preserve">MW</t>
  </si>
  <si>
    <t xml:space="preserve">Power factor at grid</t>
  </si>
  <si>
    <t xml:space="preserve">cos phi</t>
  </si>
  <si>
    <t xml:space="preserve">MVA rating of plant</t>
  </si>
  <si>
    <t xml:space="preserve">MVA</t>
  </si>
  <si>
    <t xml:space="preserve">MVAr demand (grid PF)</t>
  </si>
  <si>
    <t xml:space="preserve">MVAr</t>
  </si>
  <si>
    <t xml:space="preserve">STEP 2 — TRANSFORMER REACTIVE CONSUMPTION</t>
  </si>
  <si>
    <t xml:space="preserve">Group</t>
  </si>
  <si>
    <t xml:space="preserve">Qty</t>
  </si>
  <si>
    <t xml:space="preserve">Rating (kVA)</t>
  </si>
  <si>
    <t xml:space="preserve">Impedance (%)</t>
  </si>
  <si>
    <t xml:space="preserve">Q (kVAr)</t>
  </si>
  <si>
    <t xml:space="preserve">TS Block 1</t>
  </si>
  <si>
    <t xml:space="preserve">TS Block 2</t>
  </si>
  <si>
    <t xml:space="preserve">Auxiliary transformer (MCR)</t>
  </si>
  <si>
    <t xml:space="preserve">Design margin on transformer demand</t>
  </si>
  <si>
    <t xml:space="preserve">%</t>
  </si>
  <si>
    <t xml:space="preserve">Transformer demand incl. margin</t>
  </si>
  <si>
    <t xml:space="preserve">TOTAL REACTIVE DEMAND</t>
  </si>
  <si>
    <t xml:space="preserve">STEP 3 — INTERNAL SYSTEM LOSSES</t>
  </si>
  <si>
    <t xml:space="preserve">Loss source</t>
  </si>
  <si>
    <t xml:space="preserve">Fraction (%)</t>
  </si>
  <si>
    <t xml:space="preserve">Loss (MW)</t>
  </si>
  <si>
    <t xml:space="preserve">AC cable loss</t>
  </si>
  <si>
    <t xml:space="preserve">Auxiliary system loss (string inverters)</t>
  </si>
  <si>
    <t xml:space="preserve">Transmission line loss</t>
  </si>
  <si>
    <t xml:space="preserve">Miscellaneous losses</t>
  </si>
  <si>
    <t xml:space="preserve">Total system losses</t>
  </si>
  <si>
    <t xml:space="preserve">Capacity to be considered</t>
  </si>
  <si>
    <t xml:space="preserve">STEP 4 — INVERTER CAPABILITY &amp; COMPENSATION</t>
  </si>
  <si>
    <t xml:space="preserve">Inverter apparent power</t>
  </si>
  <si>
    <t xml:space="preserve">kVA</t>
  </si>
  <si>
    <t xml:space="preserve">PF at inverter level (use Data &gt; What-If &gt; Goal Seek on B45 or B46)</t>
  </si>
  <si>
    <t xml:space="preserve">Active power / inverter</t>
  </si>
  <si>
    <t xml:space="preserve">kW</t>
  </si>
  <si>
    <t xml:space="preserve">Reactive capability - derived sqrt(S^2-P^2)</t>
  </si>
  <si>
    <t xml:space="preserve">kVAr</t>
  </si>
  <si>
    <t xml:space="preserve">Reactive capability - manual override (optional)</t>
  </si>
  <si>
    <t xml:space="preserve">Reactive capability - from InverterPQ table (at PF loading)</t>
  </si>
  <si>
    <t xml:space="preserve">Q per inverter USED</t>
  </si>
  <si>
    <t xml:space="preserve">Capacitor bank</t>
  </si>
  <si>
    <t xml:space="preserve">Q for inverters (after cap bank)</t>
  </si>
  <si>
    <t xml:space="preserve">Manual inverter count (blank = auto)</t>
  </si>
  <si>
    <t xml:space="preserve">nos.</t>
  </si>
  <si>
    <t xml:space="preserve">Required inverters - reactive</t>
  </si>
  <si>
    <t xml:space="preserve">Required inverters - active delivery</t>
  </si>
  <si>
    <t xml:space="preserve">Inverters in design</t>
  </si>
  <si>
    <t xml:space="preserve">Power delivered to grid (net of losses)</t>
  </si>
  <si>
    <t xml:space="preserve">Reactive power compensated</t>
  </si>
  <si>
    <t xml:space="preserve">Delivery check (&gt;= grid limit)</t>
  </si>
  <si>
    <t xml:space="preserve">Reactive check (&gt;= total demand)</t>
  </si>
  <si>
    <t xml:space="preserve">Selected grid code:</t>
  </si>
  <si>
    <t xml:space="preserve">United Kingdom - ENA G99 / GB Grid Code (Type C/D PPM)</t>
  </si>
  <si>
    <t xml:space="preserve">Key</t>
  </si>
  <si>
    <t xml:space="preserve">Name</t>
  </si>
  <si>
    <t xml:space="preserve">Q/Pmax</t>
  </si>
  <si>
    <t xml:space="preserve">PF</t>
  </si>
  <si>
    <t xml:space="preserve">pMin %</t>
  </si>
  <si>
    <t xml:space="preserve">pFullLag %</t>
  </si>
  <si>
    <t xml:space="preserve">Relief</t>
  </si>
  <si>
    <t xml:space="preserve">Stub</t>
  </si>
  <si>
    <t xml:space="preserve">VFullLo</t>
  </si>
  <si>
    <t xml:space="preserve">VFullHi</t>
  </si>
  <si>
    <t xml:space="preserve">Asym</t>
  </si>
  <si>
    <t xml:space="preserve">VZeroLo</t>
  </si>
  <si>
    <t xml:space="preserve">VZeroHi</t>
  </si>
  <si>
    <t xml:space="preserve">Notes</t>
  </si>
  <si>
    <t xml:space="preserve">gb_g99</t>
  </si>
  <si>
    <t xml:space="preserve">0.95 lead/lag at RC from 20% output (G99 13.5.5, Fig 13.13/13.14). Asymmetric V-Q; lead relief triangle 20-50% at DNO discretion; +/-5% band below 20%.</t>
  </si>
  <si>
    <t xml:space="preserve">de_4110</t>
  </si>
  <si>
    <t xml:space="preserve">Germany - VDE-AR-N 4110 (medium voltage)</t>
  </si>
  <si>
    <t xml:space="preserve">cos phi 0.95 under/overexcited above 20% of installed capacity; control range 0.925-1.075 pu.</t>
  </si>
  <si>
    <t xml:space="preserve">de_4120</t>
  </si>
  <si>
    <t xml:space="preserve">Germany - VDE-AR-N 4120 (high voltage)</t>
  </si>
  <si>
    <t xml:space="preserve">cos phi 0.925 variant (three TSO-selectable variants exist).</t>
  </si>
  <si>
    <t xml:space="preserve">us_1547b</t>
  </si>
  <si>
    <t xml:space="preserve">USA - IEEE 1547-2018 (Category B)</t>
  </si>
  <si>
    <t xml:space="preserve">Inject/absorb 44% of nameplate kVA (~0.90 PF at rated); full capability above 20% of rated power.</t>
  </si>
  <si>
    <t xml:space="preserve">au_ner</t>
  </si>
  <si>
    <t xml:space="preserve">Australia - NER S5.2.5.1 (Automatic access)</t>
  </si>
  <si>
    <t xml:space="preserve">+/-0.395 x rated active power at any output level.</t>
  </si>
  <si>
    <t xml:space="preserve">eu_rfg</t>
  </si>
  <si>
    <t xml:space="preserve">EU - ENTSO-E RfG (typical Type C/D implementation)</t>
  </si>
  <si>
    <t xml:space="preserve">Regulation 2016/631 leaves envelopes to each TSO - typical national choice shown.</t>
  </si>
  <si>
    <t xml:space="preserve">pf95</t>
  </si>
  <si>
    <t xml:space="preserve">Generic - fixed PF 0.95 lead/lag</t>
  </si>
  <si>
    <t xml:space="preserve">Fixed PF, full Q above 20% output.</t>
  </si>
  <si>
    <t xml:space="preserve">pf90</t>
  </si>
  <si>
    <t xml:space="preserve">Generic - fixed PF 0.90 lead/lag</t>
  </si>
  <si>
    <t xml:space="preserve">Active parameters (looked up from the selected code):</t>
  </si>
  <si>
    <t xml:space="preserve">Use capability table for sizing?</t>
  </si>
  <si>
    <t xml:space="preserve">Yes</t>
  </si>
  <si>
    <t xml:space="preserve">Max reactive power, % of rated kVA (blank = N/A, operation not permitted)</t>
  </si>
  <si>
    <t xml:space="preserve">V (pu) \ P loading (pu)</t>
  </si>
  <si>
    <t xml:space="preserve">Sizing lookup (1.00 Vn row at PF loading):</t>
  </si>
  <si>
    <t xml:space="preserve">Loading (= inverter PF)</t>
  </si>
  <si>
    <t xml:space="preserve">q% at 1.00 Vn</t>
  </si>
  <si>
    <t xml:space="preserve">q (kVAr) at 1.00 Vn</t>
  </si>
  <si>
    <t xml:space="preserve">COMPLIANCE VS SELECTED GRID CODE</t>
  </si>
  <si>
    <t xml:space="preserve">Dispatch/inverter</t>
  </si>
  <si>
    <t xml:space="preserve">Dispatch loading</t>
  </si>
  <si>
    <t xml:space="preserve">pu</t>
  </si>
  <si>
    <t xml:space="preserve">Qmax required</t>
  </si>
  <si>
    <t xml:space="preserve">V-Q AT REGISTERED CAPACITY (table voltages)</t>
  </si>
  <si>
    <t xml:space="preserve">V (pu)</t>
  </si>
  <si>
    <t xml:space="preserve">q%/inv</t>
  </si>
  <si>
    <t xml:space="preserve">Q prod (MVAr)</t>
  </si>
  <si>
    <t xml:space="preserve">Q abs (MVAr)</t>
  </si>
  <si>
    <t xml:space="preserve">Req lag</t>
  </si>
  <si>
    <t xml:space="preserve">Req lead</t>
  </si>
  <si>
    <t xml:space="preserve">Status</t>
  </si>
  <si>
    <t xml:space="preserve">Req polygon</t>
  </si>
  <si>
    <t xml:space="preserve">-Q abs (VQ)</t>
  </si>
  <si>
    <t xml:space="preserve">Q</t>
  </si>
  <si>
    <t xml:space="preserve">V</t>
  </si>
  <si>
    <t xml:space="preserve">P-Q AT NOMINAL VOLTAGE (1.00 pu)</t>
  </si>
  <si>
    <t xml:space="preserve">P (pu)</t>
  </si>
  <si>
    <t xml:space="preserve">P (MW)</t>
  </si>
  <si>
    <t xml:space="preserve">disp (kW)</t>
  </si>
  <si>
    <t xml:space="preserve">loading</t>
  </si>
  <si>
    <t xml:space="preserve">Q prod</t>
  </si>
  <si>
    <t xml:space="preserve">Q abs</t>
  </si>
  <si>
    <t xml:space="preserve">-Req lead</t>
  </si>
  <si>
    <t xml:space="preserve">-Q abs</t>
  </si>
  <si>
    <t xml:space="preserve">OVERALL VERDICT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</si>
</sst>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0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5CAB"/>
        <bgColor rgb="FF333399"/>
      </patternFill>
    </fill>
    <fill>
      <patternFill patternType="solid">
        <fgColor rgb="FFFFF3CC"/>
        <bgColor rgb="FFE6F4E6"/>
      </patternFill>
    </fill>
    <fill>
      <patternFill patternType="solid">
        <fgColor rgb="FFEEF1F4"/>
        <bgColor rgb="FFE6F4E6"/>
      </patternFill>
    </fill>
    <fill>
      <patternFill patternType="solid">
        <fgColor rgb="FFE6F4E6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3CC"/>
      <rgbColor rgb="FFE6F4E6"/>
      <rgbColor rgb="FF660066"/>
      <rgbColor rgb="FFFF8080"/>
      <rgbColor rgb="FF1C5CAB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V-Q Diagram at CP - Registered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"Requirement"</c:f>
              <c:strCache>
                <c:ptCount val="1"/>
                <c:pt idx="0">
                  <c:v>Requirement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Compliance!$I$9:$I$15</c:f>
              <c:numCache>
                <c:formatCode>0.00</c:formatCode>
                <c:ptCount val="7"/>
                <c:pt idx="0">
                  <c:v>0</c:v>
                </c:pt>
                <c:pt idx="1">
                  <c:v>17.3712</c:v>
                </c:pt>
                <c:pt idx="2">
                  <c:v>17.3712</c:v>
                </c:pt>
                <c:pt idx="3">
                  <c:v>0</c:v>
                </c:pt>
                <c:pt idx="4">
                  <c:v>-17.3712</c:v>
                </c:pt>
                <c:pt idx="5">
                  <c:v>-17.3712</c:v>
                </c:pt>
                <c:pt idx="6">
                  <c:v>0</c:v>
                </c:pt>
              </c:numCache>
            </c:numRef>
          </c:xVal>
          <c:yVal>
            <c:numRef>
              <c:f>Compliance!$J$9:$J$15</c:f>
              <c:numCache>
                <c:formatCode>0.00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1</c:v>
                </c:pt>
                <c:pt idx="3">
                  <c:v>1.05</c:v>
                </c:pt>
                <c:pt idx="4">
                  <c:v>1.05</c:v>
                </c:pt>
                <c:pt idx="5">
                  <c:v>1</c:v>
                </c:pt>
                <c:pt idx="6">
                  <c:v>0.95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"Capability (lag)"</c:f>
              <c:strCache>
                <c:ptCount val="1"/>
                <c:pt idx="0">
                  <c:v>Capability (lag)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Compliance!$C$8:$C$13</c:f>
              <c:numCache>
                <c:formatCode>0.00</c:formatCode>
                <c:ptCount val="6"/>
                <c:pt idx="0">
                  <c:v>30.622812</c:v>
                </c:pt>
                <c:pt idx="1">
                  <c:v>30.622812</c:v>
                </c:pt>
                <c:pt idx="2">
                  <c:v>30.622812</c:v>
                </c:pt>
                <c:pt idx="3">
                  <c:v>24.06558</c:v>
                </c:pt>
                <c:pt idx="4">
                  <c:v>14.012196</c:v>
                </c:pt>
                <c:pt idx="5">
                  <c:v>-6.245844</c:v>
                </c:pt>
              </c:numCache>
            </c:numRef>
          </c:xVal>
          <c:yVal>
            <c:numRef>
              <c:f>Compliance!$A$8:$A$13</c:f>
              <c:numCache>
                <c:formatCode>0.00</c:formatCode>
                <c:ptCount val="6"/>
                <c:pt idx="0">
                  <c:v>1.1</c:v>
                </c:pt>
                <c:pt idx="1">
                  <c:v>1.05</c:v>
                </c:pt>
                <c:pt idx="2">
                  <c:v>1</c:v>
                </c:pt>
                <c:pt idx="3">
                  <c:v>0.95</c:v>
                </c:pt>
                <c:pt idx="4">
                  <c:v>0.9</c:v>
                </c:pt>
                <c:pt idx="5">
                  <c:v>0.85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"Capability (lead)"</c:f>
              <c:strCache>
                <c:ptCount val="1"/>
                <c:pt idx="0">
                  <c:v>Capability (lead)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Compliance!$N$8:$N$13</c:f>
              <c:numCache>
                <c:formatCode>0.00</c:formatCode>
                <c:ptCount val="6"/>
                <c:pt idx="0">
                  <c:v>-43.1145</c:v>
                </c:pt>
                <c:pt idx="1">
                  <c:v>-43.1145</c:v>
                </c:pt>
                <c:pt idx="2">
                  <c:v>-43.1145</c:v>
                </c:pt>
                <c:pt idx="3">
                  <c:v>-36.557268</c:v>
                </c:pt>
                <c:pt idx="4">
                  <c:v>-26.503884</c:v>
                </c:pt>
                <c:pt idx="5">
                  <c:v>-6.245844</c:v>
                </c:pt>
              </c:numCache>
            </c:numRef>
          </c:xVal>
          <c:yVal>
            <c:numRef>
              <c:f>Compliance!$A$8:$A$13</c:f>
              <c:numCache>
                <c:formatCode>0.00</c:formatCode>
                <c:ptCount val="6"/>
                <c:pt idx="0">
                  <c:v>1.1</c:v>
                </c:pt>
                <c:pt idx="1">
                  <c:v>1.05</c:v>
                </c:pt>
                <c:pt idx="2">
                  <c:v>1</c:v>
                </c:pt>
                <c:pt idx="3">
                  <c:v>0.95</c:v>
                </c:pt>
                <c:pt idx="4">
                  <c:v>0.9</c:v>
                </c:pt>
                <c:pt idx="5">
                  <c:v>0.85</c:v>
                </c:pt>
              </c:numCache>
            </c:numRef>
          </c:yVal>
          <c:smooth val="1"/>
        </c:ser>
        <c:axId val="41337222"/>
        <c:axId val="25912465"/>
      </c:scatterChart>
      <c:valAx>
        <c:axId val="413372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 at CP (MVAr)   [lead &lt; 0 &lt; lag]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12465"/>
        <c:crosses val="autoZero"/>
        <c:crossBetween val="midCat"/>
      </c:valAx>
      <c:valAx>
        <c:axId val="25912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(pu)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372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P-Q Diagram at CP - 1.00 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"Req (lag)"</c:f>
              <c:strCache>
                <c:ptCount val="1"/>
                <c:pt idx="0">
                  <c:v>Req (lag)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Compliance!$H$22:$H$42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17.3712</c:v>
                </c:pt>
                <c:pt idx="5">
                  <c:v>17.3712</c:v>
                </c:pt>
                <c:pt idx="6">
                  <c:v>17.3712</c:v>
                </c:pt>
                <c:pt idx="7">
                  <c:v>17.3712</c:v>
                </c:pt>
                <c:pt idx="8">
                  <c:v>17.3712</c:v>
                </c:pt>
                <c:pt idx="9">
                  <c:v>17.3712</c:v>
                </c:pt>
                <c:pt idx="10">
                  <c:v>17.3712</c:v>
                </c:pt>
                <c:pt idx="11">
                  <c:v>17.3712</c:v>
                </c:pt>
                <c:pt idx="12">
                  <c:v>17.3712</c:v>
                </c:pt>
                <c:pt idx="13">
                  <c:v>17.3712</c:v>
                </c:pt>
                <c:pt idx="14">
                  <c:v>17.3712</c:v>
                </c:pt>
                <c:pt idx="15">
                  <c:v>17.3712</c:v>
                </c:pt>
                <c:pt idx="16">
                  <c:v>17.3712</c:v>
                </c:pt>
                <c:pt idx="17">
                  <c:v>17.3712</c:v>
                </c:pt>
                <c:pt idx="18">
                  <c:v>17.3712</c:v>
                </c:pt>
                <c:pt idx="19">
                  <c:v>17.3712</c:v>
                </c:pt>
                <c:pt idx="20">
                  <c:v>17.3712</c:v>
                </c:pt>
              </c:numCache>
            </c:numRef>
          </c:xVal>
          <c:yVal>
            <c:numRef>
              <c:f>Compliance!$B$22:$B$42</c:f>
              <c:numCache>
                <c:formatCode>0.0</c:formatCode>
                <c:ptCount val="21"/>
                <c:pt idx="0">
                  <c:v>0</c:v>
                </c:pt>
                <c:pt idx="1">
                  <c:v>2.64</c:v>
                </c:pt>
                <c:pt idx="2">
                  <c:v>5.28</c:v>
                </c:pt>
                <c:pt idx="3">
                  <c:v>7.92</c:v>
                </c:pt>
                <c:pt idx="4">
                  <c:v>10.56</c:v>
                </c:pt>
                <c:pt idx="5">
                  <c:v>13.2</c:v>
                </c:pt>
                <c:pt idx="6">
                  <c:v>15.84</c:v>
                </c:pt>
                <c:pt idx="7">
                  <c:v>18.48</c:v>
                </c:pt>
                <c:pt idx="8">
                  <c:v>21.12</c:v>
                </c:pt>
                <c:pt idx="9">
                  <c:v>23.76</c:v>
                </c:pt>
                <c:pt idx="10">
                  <c:v>26.4</c:v>
                </c:pt>
                <c:pt idx="11">
                  <c:v>29.04</c:v>
                </c:pt>
                <c:pt idx="12">
                  <c:v>31.68</c:v>
                </c:pt>
                <c:pt idx="13">
                  <c:v>34.32</c:v>
                </c:pt>
                <c:pt idx="14">
                  <c:v>36.96</c:v>
                </c:pt>
                <c:pt idx="15">
                  <c:v>39.6</c:v>
                </c:pt>
                <c:pt idx="16">
                  <c:v>42.24</c:v>
                </c:pt>
                <c:pt idx="17">
                  <c:v>44.88</c:v>
                </c:pt>
                <c:pt idx="18">
                  <c:v>47.52</c:v>
                </c:pt>
                <c:pt idx="19">
                  <c:v>50.16</c:v>
                </c:pt>
                <c:pt idx="20">
                  <c:v>52.8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"Req (lead)"</c:f>
              <c:strCache>
                <c:ptCount val="1"/>
                <c:pt idx="0">
                  <c:v>Req (lead)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Compliance!$K$22:$K$42</c:f>
              <c:numCache>
                <c:formatCode>0.00</c:formatCode>
                <c:ptCount val="21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-6.3168</c:v>
                </c:pt>
                <c:pt idx="5">
                  <c:v>-8.1592</c:v>
                </c:pt>
                <c:pt idx="6">
                  <c:v>-10.0016</c:v>
                </c:pt>
                <c:pt idx="7">
                  <c:v>-11.844</c:v>
                </c:pt>
                <c:pt idx="8">
                  <c:v>-13.6864</c:v>
                </c:pt>
                <c:pt idx="9">
                  <c:v>-15.5288</c:v>
                </c:pt>
                <c:pt idx="10">
                  <c:v>-17.3712</c:v>
                </c:pt>
                <c:pt idx="11">
                  <c:v>-17.3712</c:v>
                </c:pt>
                <c:pt idx="12">
                  <c:v>-17.3712</c:v>
                </c:pt>
                <c:pt idx="13">
                  <c:v>-17.3712</c:v>
                </c:pt>
                <c:pt idx="14">
                  <c:v>-17.3712</c:v>
                </c:pt>
                <c:pt idx="15">
                  <c:v>-17.3712</c:v>
                </c:pt>
                <c:pt idx="16">
                  <c:v>-17.3712</c:v>
                </c:pt>
                <c:pt idx="17">
                  <c:v>-17.3712</c:v>
                </c:pt>
                <c:pt idx="18">
                  <c:v>-17.3712</c:v>
                </c:pt>
                <c:pt idx="19">
                  <c:v>-17.3712</c:v>
                </c:pt>
                <c:pt idx="20">
                  <c:v>-17.3712</c:v>
                </c:pt>
              </c:numCache>
            </c:numRef>
          </c:xVal>
          <c:yVal>
            <c:numRef>
              <c:f>Compliance!$B$22:$B$42</c:f>
              <c:numCache>
                <c:formatCode>0.0</c:formatCode>
                <c:ptCount val="21"/>
                <c:pt idx="0">
                  <c:v>0</c:v>
                </c:pt>
                <c:pt idx="1">
                  <c:v>2.64</c:v>
                </c:pt>
                <c:pt idx="2">
                  <c:v>5.28</c:v>
                </c:pt>
                <c:pt idx="3">
                  <c:v>7.92</c:v>
                </c:pt>
                <c:pt idx="4">
                  <c:v>10.56</c:v>
                </c:pt>
                <c:pt idx="5">
                  <c:v>13.2</c:v>
                </c:pt>
                <c:pt idx="6">
                  <c:v>15.84</c:v>
                </c:pt>
                <c:pt idx="7">
                  <c:v>18.48</c:v>
                </c:pt>
                <c:pt idx="8">
                  <c:v>21.12</c:v>
                </c:pt>
                <c:pt idx="9">
                  <c:v>23.76</c:v>
                </c:pt>
                <c:pt idx="10">
                  <c:v>26.4</c:v>
                </c:pt>
                <c:pt idx="11">
                  <c:v>29.04</c:v>
                </c:pt>
                <c:pt idx="12">
                  <c:v>31.68</c:v>
                </c:pt>
                <c:pt idx="13">
                  <c:v>34.32</c:v>
                </c:pt>
                <c:pt idx="14">
                  <c:v>36.96</c:v>
                </c:pt>
                <c:pt idx="15">
                  <c:v>39.6</c:v>
                </c:pt>
                <c:pt idx="16">
                  <c:v>42.24</c:v>
                </c:pt>
                <c:pt idx="17">
                  <c:v>44.88</c:v>
                </c:pt>
                <c:pt idx="18">
                  <c:v>47.52</c:v>
                </c:pt>
                <c:pt idx="19">
                  <c:v>50.16</c:v>
                </c:pt>
                <c:pt idx="20">
                  <c:v>52.8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"Capability (lag)"</c:f>
              <c:strCache>
                <c:ptCount val="1"/>
                <c:pt idx="0">
                  <c:v>Capability (lag)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Compliance!$F$22:$F$42</c:f>
              <c:numCache>
                <c:formatCode>0.00</c:formatCode>
                <c:ptCount val="21"/>
                <c:pt idx="0">
                  <c:v>33.393756</c:v>
                </c:pt>
                <c:pt idx="1">
                  <c:v>33.393756</c:v>
                </c:pt>
                <c:pt idx="2">
                  <c:v>33.393756</c:v>
                </c:pt>
                <c:pt idx="3">
                  <c:v>33.393756</c:v>
                </c:pt>
                <c:pt idx="4">
                  <c:v>33.393756</c:v>
                </c:pt>
                <c:pt idx="5">
                  <c:v>33.393756</c:v>
                </c:pt>
                <c:pt idx="6">
                  <c:v>33.393756</c:v>
                </c:pt>
                <c:pt idx="7">
                  <c:v>33.393756</c:v>
                </c:pt>
                <c:pt idx="8">
                  <c:v>33.393756</c:v>
                </c:pt>
                <c:pt idx="9">
                  <c:v>33.393756</c:v>
                </c:pt>
                <c:pt idx="10">
                  <c:v>33.393756</c:v>
                </c:pt>
                <c:pt idx="11">
                  <c:v>33.393756</c:v>
                </c:pt>
                <c:pt idx="12">
                  <c:v>33.393756</c:v>
                </c:pt>
                <c:pt idx="13">
                  <c:v>33.393756</c:v>
                </c:pt>
                <c:pt idx="14">
                  <c:v>33.393756</c:v>
                </c:pt>
                <c:pt idx="15">
                  <c:v>33.393756</c:v>
                </c:pt>
                <c:pt idx="16">
                  <c:v>33.393756</c:v>
                </c:pt>
                <c:pt idx="17">
                  <c:v>33.393756</c:v>
                </c:pt>
                <c:pt idx="18">
                  <c:v>33.393756</c:v>
                </c:pt>
                <c:pt idx="19">
                  <c:v>33.393756</c:v>
                </c:pt>
                <c:pt idx="20">
                  <c:v>30.622812</c:v>
                </c:pt>
              </c:numCache>
            </c:numRef>
          </c:xVal>
          <c:yVal>
            <c:numRef>
              <c:f>Compliance!$B$22:$B$42</c:f>
              <c:numCache>
                <c:formatCode>0.0</c:formatCode>
                <c:ptCount val="21"/>
                <c:pt idx="0">
                  <c:v>0</c:v>
                </c:pt>
                <c:pt idx="1">
                  <c:v>2.64</c:v>
                </c:pt>
                <c:pt idx="2">
                  <c:v>5.28</c:v>
                </c:pt>
                <c:pt idx="3">
                  <c:v>7.92</c:v>
                </c:pt>
                <c:pt idx="4">
                  <c:v>10.56</c:v>
                </c:pt>
                <c:pt idx="5">
                  <c:v>13.2</c:v>
                </c:pt>
                <c:pt idx="6">
                  <c:v>15.84</c:v>
                </c:pt>
                <c:pt idx="7">
                  <c:v>18.48</c:v>
                </c:pt>
                <c:pt idx="8">
                  <c:v>21.12</c:v>
                </c:pt>
                <c:pt idx="9">
                  <c:v>23.76</c:v>
                </c:pt>
                <c:pt idx="10">
                  <c:v>26.4</c:v>
                </c:pt>
                <c:pt idx="11">
                  <c:v>29.04</c:v>
                </c:pt>
                <c:pt idx="12">
                  <c:v>31.68</c:v>
                </c:pt>
                <c:pt idx="13">
                  <c:v>34.32</c:v>
                </c:pt>
                <c:pt idx="14">
                  <c:v>36.96</c:v>
                </c:pt>
                <c:pt idx="15">
                  <c:v>39.6</c:v>
                </c:pt>
                <c:pt idx="16">
                  <c:v>42.24</c:v>
                </c:pt>
                <c:pt idx="17">
                  <c:v>44.88</c:v>
                </c:pt>
                <c:pt idx="18">
                  <c:v>47.52</c:v>
                </c:pt>
                <c:pt idx="19">
                  <c:v>50.16</c:v>
                </c:pt>
                <c:pt idx="20">
                  <c:v>52.8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"Capability (lead)"</c:f>
              <c:strCache>
                <c:ptCount val="1"/>
                <c:pt idx="0">
                  <c:v>Capability (lead)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4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Compliance!$L$22:$L$42</c:f>
              <c:numCache>
                <c:formatCode>0.00</c:formatCode>
                <c:ptCount val="21"/>
                <c:pt idx="0">
                  <c:v>-45.885444</c:v>
                </c:pt>
                <c:pt idx="1">
                  <c:v>-45.885444</c:v>
                </c:pt>
                <c:pt idx="2">
                  <c:v>-45.885444</c:v>
                </c:pt>
                <c:pt idx="3">
                  <c:v>-45.885444</c:v>
                </c:pt>
                <c:pt idx="4">
                  <c:v>-45.885444</c:v>
                </c:pt>
                <c:pt idx="5">
                  <c:v>-45.885444</c:v>
                </c:pt>
                <c:pt idx="6">
                  <c:v>-45.885444</c:v>
                </c:pt>
                <c:pt idx="7">
                  <c:v>-45.885444</c:v>
                </c:pt>
                <c:pt idx="8">
                  <c:v>-45.885444</c:v>
                </c:pt>
                <c:pt idx="9">
                  <c:v>-45.885444</c:v>
                </c:pt>
                <c:pt idx="10">
                  <c:v>-45.885444</c:v>
                </c:pt>
                <c:pt idx="11">
                  <c:v>-45.885444</c:v>
                </c:pt>
                <c:pt idx="12">
                  <c:v>-45.885444</c:v>
                </c:pt>
                <c:pt idx="13">
                  <c:v>-45.885444</c:v>
                </c:pt>
                <c:pt idx="14">
                  <c:v>-45.885444</c:v>
                </c:pt>
                <c:pt idx="15">
                  <c:v>-45.885444</c:v>
                </c:pt>
                <c:pt idx="16">
                  <c:v>-45.885444</c:v>
                </c:pt>
                <c:pt idx="17">
                  <c:v>-45.885444</c:v>
                </c:pt>
                <c:pt idx="18">
                  <c:v>-45.885444</c:v>
                </c:pt>
                <c:pt idx="19">
                  <c:v>-45.885444</c:v>
                </c:pt>
                <c:pt idx="20">
                  <c:v>-43.1145</c:v>
                </c:pt>
              </c:numCache>
            </c:numRef>
          </c:xVal>
          <c:yVal>
            <c:numRef>
              <c:f>Compliance!$B$22:$B$42</c:f>
              <c:numCache>
                <c:formatCode>0.0</c:formatCode>
                <c:ptCount val="21"/>
                <c:pt idx="0">
                  <c:v>0</c:v>
                </c:pt>
                <c:pt idx="1">
                  <c:v>2.64</c:v>
                </c:pt>
                <c:pt idx="2">
                  <c:v>5.28</c:v>
                </c:pt>
                <c:pt idx="3">
                  <c:v>7.92</c:v>
                </c:pt>
                <c:pt idx="4">
                  <c:v>10.56</c:v>
                </c:pt>
                <c:pt idx="5">
                  <c:v>13.2</c:v>
                </c:pt>
                <c:pt idx="6">
                  <c:v>15.84</c:v>
                </c:pt>
                <c:pt idx="7">
                  <c:v>18.48</c:v>
                </c:pt>
                <c:pt idx="8">
                  <c:v>21.12</c:v>
                </c:pt>
                <c:pt idx="9">
                  <c:v>23.76</c:v>
                </c:pt>
                <c:pt idx="10">
                  <c:v>26.4</c:v>
                </c:pt>
                <c:pt idx="11">
                  <c:v>29.04</c:v>
                </c:pt>
                <c:pt idx="12">
                  <c:v>31.68</c:v>
                </c:pt>
                <c:pt idx="13">
                  <c:v>34.32</c:v>
                </c:pt>
                <c:pt idx="14">
                  <c:v>36.96</c:v>
                </c:pt>
                <c:pt idx="15">
                  <c:v>39.6</c:v>
                </c:pt>
                <c:pt idx="16">
                  <c:v>42.24</c:v>
                </c:pt>
                <c:pt idx="17">
                  <c:v>44.88</c:v>
                </c:pt>
                <c:pt idx="18">
                  <c:v>47.52</c:v>
                </c:pt>
                <c:pt idx="19">
                  <c:v>50.16</c:v>
                </c:pt>
                <c:pt idx="20">
                  <c:v>52.8</c:v>
                </c:pt>
              </c:numCache>
            </c:numRef>
          </c:yVal>
          <c:smooth val="1"/>
        </c:ser>
        <c:axId val="65141363"/>
        <c:axId val="65929223"/>
      </c:scatterChart>
      <c:valAx>
        <c:axId val="651413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 at CP (MVAr)   [lead &lt; 0 &lt; lag]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29223"/>
        <c:crosses val="autoZero"/>
        <c:crossBetween val="midCat"/>
      </c:valAx>
      <c:valAx>
        <c:axId val="65929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(MW)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413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19</xdr:col>
      <xdr:colOff>49320</xdr:colOff>
      <xdr:row>18</xdr:row>
      <xdr:rowOff>170640</xdr:rowOff>
    </xdr:to>
    <xdr:graphicFrame>
      <xdr:nvGraphicFramePr>
        <xdr:cNvPr id="0" name="Chart 1"/>
        <xdr:cNvGraphicFramePr/>
      </xdr:nvGraphicFramePr>
      <xdr:xfrm>
        <a:off x="11734920" y="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19</xdr:col>
      <xdr:colOff>49320</xdr:colOff>
      <xdr:row>37</xdr:row>
      <xdr:rowOff>170640</xdr:rowOff>
    </xdr:to>
    <xdr:graphicFrame>
      <xdr:nvGraphicFramePr>
        <xdr:cNvPr id="1" name="Chart 2"/>
        <xdr:cNvGraphicFramePr/>
      </xdr:nvGraphicFramePr>
      <xdr:xfrm>
        <a:off x="11734920" y="36194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1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2" t="s">
        <v>14</v>
      </c>
    </row>
    <row r="2" customFormat="false" ht="15" hidden="false" customHeight="false" outlineLevel="0" collapsed="false">
      <c r="A2" s="0" t="s">
        <v>15</v>
      </c>
      <c r="B2" s="3" t="s">
        <v>16</v>
      </c>
    </row>
    <row r="4" customFormat="false" ht="15" hidden="false" customHeight="false" outlineLevel="0" collapsed="false">
      <c r="A4" s="2" t="s">
        <v>17</v>
      </c>
    </row>
    <row r="5" customFormat="false" ht="15" hidden="false" customHeight="false" outlineLevel="0" collapsed="false">
      <c r="A5" s="0" t="s">
        <v>18</v>
      </c>
      <c r="B5" s="3" t="n">
        <v>52.8</v>
      </c>
      <c r="C5" s="4" t="s">
        <v>19</v>
      </c>
    </row>
    <row r="6" customFormat="false" ht="15" hidden="false" customHeight="false" outlineLevel="0" collapsed="false">
      <c r="A6" s="0" t="s">
        <v>20</v>
      </c>
      <c r="B6" s="3" t="n">
        <v>0.95</v>
      </c>
      <c r="C6" s="4" t="s">
        <v>21</v>
      </c>
    </row>
    <row r="7" customFormat="false" ht="15" hidden="false" customHeight="false" outlineLevel="0" collapsed="false">
      <c r="A7" s="0" t="s">
        <v>22</v>
      </c>
      <c r="B7" s="5" t="n">
        <f aca="false">B5/B6</f>
        <v>55.5789473684211</v>
      </c>
      <c r="C7" s="4" t="s">
        <v>23</v>
      </c>
    </row>
    <row r="8" customFormat="false" ht="15" hidden="false" customHeight="false" outlineLevel="0" collapsed="false">
      <c r="A8" s="0" t="s">
        <v>24</v>
      </c>
      <c r="B8" s="5" t="n">
        <f aca="false">SQRT(B7^2-B5^2)</f>
        <v>17.354520753444</v>
      </c>
      <c r="C8" s="4" t="s">
        <v>25</v>
      </c>
    </row>
    <row r="10" customFormat="false" ht="15" hidden="false" customHeight="false" outlineLevel="0" collapsed="false">
      <c r="A10" s="2" t="s">
        <v>26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</row>
    <row r="12" customFormat="false" ht="15" hidden="false" customHeight="false" outlineLevel="0" collapsed="false">
      <c r="A12" s="3" t="s">
        <v>32</v>
      </c>
      <c r="B12" s="3" t="n">
        <v>3</v>
      </c>
      <c r="C12" s="3" t="n">
        <v>10164</v>
      </c>
      <c r="D12" s="3" t="n">
        <v>9.5</v>
      </c>
      <c r="E12" s="6" t="n">
        <f aca="false">IF(COUNT(B12:D12)=3,B12*C12*D12/100,0)</f>
        <v>2896.74</v>
      </c>
    </row>
    <row r="13" customFormat="false" ht="15" hidden="false" customHeight="false" outlineLevel="0" collapsed="false">
      <c r="A13" s="3" t="s">
        <v>33</v>
      </c>
      <c r="B13" s="3" t="n">
        <v>4</v>
      </c>
      <c r="C13" s="3" t="n">
        <v>7260</v>
      </c>
      <c r="D13" s="3" t="n">
        <v>9.5</v>
      </c>
      <c r="E13" s="6" t="n">
        <f aca="false">IF(COUNT(B13:D13)=3,B13*C13*D13/100,0)</f>
        <v>2758.8</v>
      </c>
    </row>
    <row r="14" customFormat="false" ht="15" hidden="false" customHeight="false" outlineLevel="0" collapsed="false">
      <c r="A14" s="3" t="s">
        <v>34</v>
      </c>
      <c r="B14" s="3" t="n">
        <v>1</v>
      </c>
      <c r="C14" s="3" t="n">
        <v>500</v>
      </c>
      <c r="D14" s="3" t="n">
        <v>4.5</v>
      </c>
      <c r="E14" s="6" t="n">
        <f aca="false">IF(COUNT(B14:D14)=3,B14*C14*D14/100,0)</f>
        <v>22.5</v>
      </c>
    </row>
    <row r="15" customFormat="false" ht="15" hidden="false" customHeight="false" outlineLevel="0" collapsed="false">
      <c r="A15" s="3"/>
      <c r="B15" s="3"/>
      <c r="C15" s="3"/>
      <c r="D15" s="3"/>
      <c r="E15" s="6" t="n">
        <f aca="false">IF(COUNT(B15:D15)=3,B15*C15*D15/100,0)</f>
        <v>0</v>
      </c>
    </row>
    <row r="16" customFormat="false" ht="15" hidden="false" customHeight="false" outlineLevel="0" collapsed="false">
      <c r="A16" s="3"/>
      <c r="B16" s="3"/>
      <c r="C16" s="3"/>
      <c r="D16" s="3"/>
      <c r="E16" s="6" t="n">
        <f aca="false">IF(COUNT(B16:D16)=3,B16*C16*D16/100,0)</f>
        <v>0</v>
      </c>
    </row>
    <row r="17" customFormat="false" ht="15" hidden="false" customHeight="false" outlineLevel="0" collapsed="false">
      <c r="A17" s="3"/>
      <c r="B17" s="3"/>
      <c r="C17" s="3"/>
      <c r="D17" s="3"/>
      <c r="E17" s="6" t="n">
        <f aca="false">IF(COUNT(B17:D17)=3,B17*C17*D17/100,0)</f>
        <v>0</v>
      </c>
    </row>
    <row r="18" customFormat="false" ht="15" hidden="false" customHeight="false" outlineLevel="0" collapsed="false">
      <c r="A18" s="0" t="s">
        <v>35</v>
      </c>
      <c r="B18" s="3" t="n">
        <v>10</v>
      </c>
      <c r="C18" s="4" t="s">
        <v>36</v>
      </c>
    </row>
    <row r="19" customFormat="false" ht="15" hidden="false" customHeight="false" outlineLevel="0" collapsed="false">
      <c r="A19" s="0" t="s">
        <v>37</v>
      </c>
      <c r="B19" s="5" t="n">
        <f aca="false">SUM(E12:E17)/1000*(1+B18/100)</f>
        <v>6.245844</v>
      </c>
      <c r="C19" s="4" t="s">
        <v>25</v>
      </c>
    </row>
    <row r="20" customFormat="false" ht="15" hidden="false" customHeight="false" outlineLevel="0" collapsed="false">
      <c r="A20" s="0" t="s">
        <v>38</v>
      </c>
      <c r="B20" s="7" t="n">
        <f aca="false">B8+B19</f>
        <v>23.600364753444</v>
      </c>
      <c r="C20" s="4" t="s">
        <v>25</v>
      </c>
    </row>
    <row r="22" customFormat="false" ht="15" hidden="false" customHeight="false" outlineLevel="0" collapsed="false">
      <c r="A22" s="2" t="s">
        <v>39</v>
      </c>
    </row>
    <row r="23" customFormat="false" ht="15" hidden="false" customHeight="false" outlineLevel="0" collapsed="false">
      <c r="A23" s="1" t="s">
        <v>40</v>
      </c>
      <c r="B23" s="1" t="s">
        <v>41</v>
      </c>
      <c r="C23" s="1" t="s">
        <v>42</v>
      </c>
    </row>
    <row r="24" customFormat="false" ht="15" hidden="false" customHeight="false" outlineLevel="0" collapsed="false">
      <c r="A24" s="0" t="s">
        <v>43</v>
      </c>
      <c r="B24" s="3" t="n">
        <v>1</v>
      </c>
      <c r="C24" s="8" t="n">
        <f aca="false">B24*$B$5/100</f>
        <v>0.528</v>
      </c>
    </row>
    <row r="25" customFormat="false" ht="15" hidden="false" customHeight="false" outlineLevel="0" collapsed="false">
      <c r="A25" s="0" t="s">
        <v>44</v>
      </c>
      <c r="B25" s="3" t="n">
        <v>1</v>
      </c>
      <c r="C25" s="8" t="n">
        <f aca="false">B25*$B$5/100</f>
        <v>0.528</v>
      </c>
    </row>
    <row r="26" customFormat="false" ht="15" hidden="false" customHeight="false" outlineLevel="0" collapsed="false">
      <c r="A26" s="0" t="s">
        <v>45</v>
      </c>
      <c r="B26" s="3" t="n">
        <v>0.3</v>
      </c>
      <c r="C26" s="8" t="n">
        <f aca="false">B26*$B$5/100</f>
        <v>0.1584</v>
      </c>
    </row>
    <row r="27" customFormat="false" ht="15" hidden="false" customHeight="false" outlineLevel="0" collapsed="false">
      <c r="A27" s="0" t="s">
        <v>46</v>
      </c>
      <c r="B27" s="3" t="n">
        <v>1</v>
      </c>
      <c r="C27" s="8" t="n">
        <f aca="false">B27*$B$5/100</f>
        <v>0.528</v>
      </c>
    </row>
    <row r="28" customFormat="false" ht="15" hidden="false" customHeight="false" outlineLevel="0" collapsed="false">
      <c r="A28" s="0" t="s">
        <v>47</v>
      </c>
      <c r="B28" s="8" t="n">
        <f aca="false">SUM(C24:C27)</f>
        <v>1.7424</v>
      </c>
      <c r="C28" s="4" t="s">
        <v>19</v>
      </c>
    </row>
    <row r="29" customFormat="false" ht="15" hidden="false" customHeight="false" outlineLevel="0" collapsed="false">
      <c r="A29" s="0" t="s">
        <v>48</v>
      </c>
      <c r="B29" s="5" t="n">
        <f aca="false">B5+B28</f>
        <v>54.5424</v>
      </c>
      <c r="C29" s="4" t="s">
        <v>19</v>
      </c>
    </row>
    <row r="31" customFormat="false" ht="15" hidden="false" customHeight="false" outlineLevel="0" collapsed="false">
      <c r="A31" s="2" t="s">
        <v>49</v>
      </c>
    </row>
    <row r="32" customFormat="false" ht="15" hidden="false" customHeight="false" outlineLevel="0" collapsed="false">
      <c r="A32" s="0" t="s">
        <v>50</v>
      </c>
      <c r="B32" s="3" t="n">
        <v>363</v>
      </c>
      <c r="C32" s="4" t="s">
        <v>51</v>
      </c>
    </row>
    <row r="33" customFormat="false" ht="15" hidden="false" customHeight="false" outlineLevel="0" collapsed="false">
      <c r="A33" s="0" t="s">
        <v>52</v>
      </c>
      <c r="B33" s="3" t="n">
        <v>0.918</v>
      </c>
      <c r="C33" s="4" t="s">
        <v>21</v>
      </c>
    </row>
    <row r="34" customFormat="false" ht="15" hidden="false" customHeight="false" outlineLevel="0" collapsed="false">
      <c r="A34" s="0" t="s">
        <v>53</v>
      </c>
      <c r="B34" s="6" t="n">
        <f aca="false">B32*B33</f>
        <v>333.234</v>
      </c>
      <c r="C34" s="4" t="s">
        <v>54</v>
      </c>
    </row>
    <row r="35" customFormat="false" ht="15" hidden="false" customHeight="false" outlineLevel="0" collapsed="false">
      <c r="A35" s="0" t="s">
        <v>55</v>
      </c>
      <c r="B35" s="6" t="n">
        <f aca="false">SQRT(B32^2-B34^2)</f>
        <v>143.958678946425</v>
      </c>
      <c r="C35" s="4" t="s">
        <v>56</v>
      </c>
    </row>
    <row r="36" customFormat="false" ht="15" hidden="false" customHeight="false" outlineLevel="0" collapsed="false">
      <c r="A36" s="0" t="s">
        <v>57</v>
      </c>
      <c r="B36" s="3"/>
      <c r="C36" s="4" t="s">
        <v>56</v>
      </c>
    </row>
    <row r="37" customFormat="false" ht="15" hidden="false" customHeight="false" outlineLevel="0" collapsed="false">
      <c r="A37" s="0" t="s">
        <v>58</v>
      </c>
      <c r="B37" s="6" t="n">
        <f aca="false">InverterPQ!B16</f>
        <v>129.77976</v>
      </c>
      <c r="C37" s="4" t="s">
        <v>56</v>
      </c>
    </row>
    <row r="38" customFormat="false" ht="15" hidden="false" customHeight="false" outlineLevel="0" collapsed="false">
      <c r="A38" s="0" t="s">
        <v>59</v>
      </c>
      <c r="B38" s="6" t="n">
        <f aca="false">IF(InverterPQ!B1="Yes",B37,IF(ISNUMBER(B36),B36,B35))</f>
        <v>129.77976</v>
      </c>
      <c r="C38" s="4" t="s">
        <v>56</v>
      </c>
    </row>
    <row r="39" customFormat="false" ht="15" hidden="false" customHeight="false" outlineLevel="0" collapsed="false">
      <c r="A39" s="0" t="s">
        <v>60</v>
      </c>
      <c r="B39" s="3" t="n">
        <v>0</v>
      </c>
      <c r="C39" s="4" t="s">
        <v>25</v>
      </c>
    </row>
    <row r="40" customFormat="false" ht="15" hidden="false" customHeight="false" outlineLevel="0" collapsed="false">
      <c r="A40" s="0" t="s">
        <v>61</v>
      </c>
      <c r="B40" s="5" t="n">
        <f aca="false">MAX(0,B20-B39)</f>
        <v>23.600364753444</v>
      </c>
      <c r="C40" s="4" t="s">
        <v>25</v>
      </c>
    </row>
    <row r="41" customFormat="false" ht="15" hidden="false" customHeight="false" outlineLevel="0" collapsed="false">
      <c r="A41" s="0" t="s">
        <v>62</v>
      </c>
      <c r="B41" s="3"/>
      <c r="C41" s="4" t="s">
        <v>63</v>
      </c>
    </row>
    <row r="42" customFormat="false" ht="15" hidden="false" customHeight="false" outlineLevel="0" collapsed="false">
      <c r="A42" s="0" t="s">
        <v>64</v>
      </c>
      <c r="B42" s="9" t="n">
        <f aca="false">IF(B38&gt;0,ROUNDUP(B40*1000/B38,0),0)</f>
        <v>182</v>
      </c>
      <c r="C42" s="4" t="s">
        <v>63</v>
      </c>
    </row>
    <row r="43" customFormat="false" ht="15" hidden="false" customHeight="false" outlineLevel="0" collapsed="false">
      <c r="A43" s="0" t="s">
        <v>65</v>
      </c>
      <c r="B43" s="9" t="n">
        <f aca="false">ROUNDUP(B29*1000/B34,0)</f>
        <v>164</v>
      </c>
      <c r="C43" s="4" t="s">
        <v>63</v>
      </c>
    </row>
    <row r="44" customFormat="false" ht="15" hidden="false" customHeight="false" outlineLevel="0" collapsed="false">
      <c r="A44" s="0" t="s">
        <v>66</v>
      </c>
      <c r="B44" s="10" t="n">
        <f aca="false">IF(ISNUMBER(B41),B41,MAX(B42,B43))</f>
        <v>182</v>
      </c>
      <c r="C44" s="4" t="s">
        <v>63</v>
      </c>
    </row>
    <row r="45" customFormat="false" ht="15" hidden="false" customHeight="false" outlineLevel="0" collapsed="false">
      <c r="A45" s="0" t="s">
        <v>67</v>
      </c>
      <c r="B45" s="11" t="n">
        <f aca="false">B44*B34/1000-B28</f>
        <v>58.906188</v>
      </c>
      <c r="C45" s="4" t="s">
        <v>19</v>
      </c>
    </row>
    <row r="46" customFormat="false" ht="15" hidden="false" customHeight="false" outlineLevel="0" collapsed="false">
      <c r="A46" s="0" t="s">
        <v>68</v>
      </c>
      <c r="B46" s="11" t="n">
        <f aca="false">B44*B38/1000+B39</f>
        <v>23.61991632</v>
      </c>
      <c r="C46" s="4" t="s">
        <v>25</v>
      </c>
    </row>
    <row r="47" customFormat="false" ht="15" hidden="false" customHeight="false" outlineLevel="0" collapsed="false">
      <c r="A47" s="0" t="s">
        <v>69</v>
      </c>
      <c r="B47" s="12" t="str">
        <f aca="false">IF(B45&gt;=B5-0.000001,"PASS","FAIL")</f>
        <v>PASS</v>
      </c>
    </row>
    <row r="48" customFormat="false" ht="15" hidden="false" customHeight="false" outlineLevel="0" collapsed="false">
      <c r="A48" s="0" t="s">
        <v>70</v>
      </c>
      <c r="B48" s="12" t="str">
        <f aca="false">IF(B46&gt;=B20-0.000001,"PASS","FAIL")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7"/>
    <col collapsed="false" customWidth="true" hidden="false" outlineLevel="0" max="10" min="9" style="0" width="9"/>
    <col collapsed="false" customWidth="true" hidden="false" outlineLevel="0" max="11" min="11" style="0" width="6"/>
    <col collapsed="false" customWidth="true" hidden="false" outlineLevel="0" max="13" min="12" style="0" width="9"/>
    <col collapsed="false" customWidth="true" hidden="false" outlineLevel="0" max="14" min="14" style="0" width="90"/>
  </cols>
  <sheetData>
    <row r="1" customFormat="false" ht="15" hidden="false" customHeight="false" outlineLevel="0" collapsed="false">
      <c r="A1" s="1" t="s">
        <v>71</v>
      </c>
      <c r="B1" s="3" t="s">
        <v>72</v>
      </c>
    </row>
    <row r="3" customFormat="false" ht="15" hidden="false" customHeight="false" outlineLevel="0" collapsed="false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82</v>
      </c>
      <c r="K3" s="2" t="s">
        <v>83</v>
      </c>
      <c r="L3" s="2" t="s">
        <v>84</v>
      </c>
      <c r="M3" s="2" t="s">
        <v>85</v>
      </c>
      <c r="N3" s="2" t="s">
        <v>86</v>
      </c>
    </row>
    <row r="4" customFormat="false" ht="28.35" hidden="false" customHeight="false" outlineLevel="0" collapsed="false">
      <c r="A4" s="13" t="s">
        <v>87</v>
      </c>
      <c r="B4" s="13" t="s">
        <v>72</v>
      </c>
      <c r="C4" s="13" t="n">
        <v>0.329</v>
      </c>
      <c r="D4" s="13" t="n">
        <v>0.95</v>
      </c>
      <c r="E4" s="13" t="n">
        <v>20</v>
      </c>
      <c r="F4" s="13" t="n">
        <v>20</v>
      </c>
      <c r="G4" s="13" t="n">
        <v>1</v>
      </c>
      <c r="H4" s="13" t="n">
        <v>0.05</v>
      </c>
      <c r="I4" s="13" t="n">
        <v>0.95</v>
      </c>
      <c r="J4" s="13" t="n">
        <v>1.05</v>
      </c>
      <c r="K4" s="13" t="n">
        <v>1</v>
      </c>
      <c r="L4" s="13" t="n">
        <v>0.9</v>
      </c>
      <c r="M4" s="13" t="n">
        <v>1.1</v>
      </c>
      <c r="N4" s="14" t="s">
        <v>88</v>
      </c>
    </row>
    <row r="5" customFormat="false" ht="15" hidden="false" customHeight="false" outlineLevel="0" collapsed="false">
      <c r="A5" s="13" t="s">
        <v>89</v>
      </c>
      <c r="B5" s="13" t="s">
        <v>90</v>
      </c>
      <c r="C5" s="13" t="n">
        <v>0.329</v>
      </c>
      <c r="D5" s="13" t="n">
        <v>0.95</v>
      </c>
      <c r="E5" s="13" t="n">
        <v>20</v>
      </c>
      <c r="F5" s="13" t="n">
        <v>20</v>
      </c>
      <c r="G5" s="13" t="n">
        <v>0</v>
      </c>
      <c r="H5" s="13" t="n">
        <v>0</v>
      </c>
      <c r="I5" s="13" t="n">
        <v>0.95</v>
      </c>
      <c r="J5" s="13" t="n">
        <v>1.05</v>
      </c>
      <c r="K5" s="13" t="n">
        <v>0</v>
      </c>
      <c r="L5" s="13" t="n">
        <v>0.925</v>
      </c>
      <c r="M5" s="13" t="n">
        <v>1.075</v>
      </c>
      <c r="N5" s="14" t="s">
        <v>91</v>
      </c>
    </row>
    <row r="6" customFormat="false" ht="15" hidden="false" customHeight="false" outlineLevel="0" collapsed="false">
      <c r="A6" s="13" t="s">
        <v>92</v>
      </c>
      <c r="B6" s="13" t="s">
        <v>93</v>
      </c>
      <c r="C6" s="13" t="n">
        <v>0.411</v>
      </c>
      <c r="D6" s="13" t="n">
        <v>0.925</v>
      </c>
      <c r="E6" s="13" t="n">
        <v>20</v>
      </c>
      <c r="F6" s="13" t="n">
        <v>20</v>
      </c>
      <c r="G6" s="13" t="n">
        <v>0</v>
      </c>
      <c r="H6" s="13" t="n">
        <v>0</v>
      </c>
      <c r="I6" s="13" t="n">
        <v>0.95</v>
      </c>
      <c r="J6" s="13" t="n">
        <v>1.05</v>
      </c>
      <c r="K6" s="13" t="n">
        <v>0</v>
      </c>
      <c r="L6" s="13" t="n">
        <v>0.9</v>
      </c>
      <c r="M6" s="13" t="n">
        <v>1.1</v>
      </c>
      <c r="N6" s="14" t="s">
        <v>94</v>
      </c>
    </row>
    <row r="7" customFormat="false" ht="15" hidden="false" customHeight="false" outlineLevel="0" collapsed="false">
      <c r="A7" s="13" t="s">
        <v>95</v>
      </c>
      <c r="B7" s="13" t="s">
        <v>96</v>
      </c>
      <c r="C7" s="13" t="n">
        <v>0.44</v>
      </c>
      <c r="D7" s="13" t="n">
        <v>0.9</v>
      </c>
      <c r="E7" s="13" t="n">
        <v>20</v>
      </c>
      <c r="F7" s="13" t="n">
        <v>20</v>
      </c>
      <c r="G7" s="13" t="n">
        <v>0</v>
      </c>
      <c r="H7" s="13" t="n">
        <v>0</v>
      </c>
      <c r="I7" s="13" t="n">
        <v>0.95</v>
      </c>
      <c r="J7" s="13" t="n">
        <v>1.05</v>
      </c>
      <c r="K7" s="13" t="n">
        <v>0</v>
      </c>
      <c r="L7" s="13" t="n">
        <v>0.9</v>
      </c>
      <c r="M7" s="13" t="n">
        <v>1.1</v>
      </c>
      <c r="N7" s="14" t="s">
        <v>97</v>
      </c>
    </row>
    <row r="8" customFormat="false" ht="15" hidden="false" customHeight="false" outlineLevel="0" collapsed="false">
      <c r="A8" s="13" t="s">
        <v>98</v>
      </c>
      <c r="B8" s="13" t="s">
        <v>99</v>
      </c>
      <c r="C8" s="13" t="n">
        <v>0.395</v>
      </c>
      <c r="D8" s="13" t="n">
        <v>0.93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0.95</v>
      </c>
      <c r="J8" s="13" t="n">
        <v>1.05</v>
      </c>
      <c r="K8" s="13" t="n">
        <v>0</v>
      </c>
      <c r="L8" s="13" t="n">
        <v>0.9</v>
      </c>
      <c r="M8" s="13" t="n">
        <v>1.1</v>
      </c>
      <c r="N8" s="14" t="s">
        <v>100</v>
      </c>
    </row>
    <row r="9" customFormat="false" ht="15" hidden="false" customHeight="false" outlineLevel="0" collapsed="false">
      <c r="A9" s="13" t="s">
        <v>101</v>
      </c>
      <c r="B9" s="13" t="s">
        <v>102</v>
      </c>
      <c r="C9" s="13" t="n">
        <v>0.329</v>
      </c>
      <c r="D9" s="13" t="n">
        <v>0.95</v>
      </c>
      <c r="E9" s="13" t="n">
        <v>20</v>
      </c>
      <c r="F9" s="13" t="n">
        <v>50</v>
      </c>
      <c r="G9" s="13" t="n">
        <v>0</v>
      </c>
      <c r="H9" s="13" t="n">
        <v>0</v>
      </c>
      <c r="I9" s="13" t="n">
        <v>0.95</v>
      </c>
      <c r="J9" s="13" t="n">
        <v>1.05</v>
      </c>
      <c r="K9" s="13" t="n">
        <v>0</v>
      </c>
      <c r="L9" s="13" t="n">
        <v>0.9</v>
      </c>
      <c r="M9" s="13" t="n">
        <v>1.1</v>
      </c>
      <c r="N9" s="14" t="s">
        <v>103</v>
      </c>
    </row>
    <row r="10" customFormat="false" ht="15" hidden="false" customHeight="false" outlineLevel="0" collapsed="false">
      <c r="A10" s="13" t="s">
        <v>104</v>
      </c>
      <c r="B10" s="13" t="s">
        <v>105</v>
      </c>
      <c r="C10" s="13" t="n">
        <v>0.329</v>
      </c>
      <c r="D10" s="13" t="n">
        <v>0.95</v>
      </c>
      <c r="E10" s="13" t="n">
        <v>20</v>
      </c>
      <c r="F10" s="13" t="n">
        <v>20</v>
      </c>
      <c r="G10" s="13" t="n">
        <v>0</v>
      </c>
      <c r="H10" s="13" t="n">
        <v>0</v>
      </c>
      <c r="I10" s="13" t="n">
        <v>0.95</v>
      </c>
      <c r="J10" s="13" t="n">
        <v>1.05</v>
      </c>
      <c r="K10" s="13" t="n">
        <v>0</v>
      </c>
      <c r="L10" s="13" t="n">
        <v>0.9</v>
      </c>
      <c r="M10" s="13" t="n">
        <v>1.1</v>
      </c>
      <c r="N10" s="14" t="s">
        <v>106</v>
      </c>
    </row>
    <row r="11" customFormat="false" ht="15" hidden="false" customHeight="false" outlineLevel="0" collapsed="false">
      <c r="A11" s="13" t="s">
        <v>107</v>
      </c>
      <c r="B11" s="13" t="s">
        <v>108</v>
      </c>
      <c r="C11" s="13" t="n">
        <v>0.484</v>
      </c>
      <c r="D11" s="13" t="n">
        <v>0.9</v>
      </c>
      <c r="E11" s="13" t="n">
        <v>20</v>
      </c>
      <c r="F11" s="13" t="n">
        <v>20</v>
      </c>
      <c r="G11" s="13" t="n">
        <v>0</v>
      </c>
      <c r="H11" s="13" t="n">
        <v>0</v>
      </c>
      <c r="I11" s="13" t="n">
        <v>0.95</v>
      </c>
      <c r="J11" s="13" t="n">
        <v>1.05</v>
      </c>
      <c r="K11" s="13" t="n">
        <v>0</v>
      </c>
      <c r="L11" s="13" t="n">
        <v>0.9</v>
      </c>
      <c r="M11" s="13" t="n">
        <v>1.1</v>
      </c>
      <c r="N11" s="14" t="s">
        <v>106</v>
      </c>
    </row>
    <row r="13" customFormat="false" ht="15" hidden="false" customHeight="false" outlineLevel="0" collapsed="false">
      <c r="A13" s="1" t="s">
        <v>109</v>
      </c>
    </row>
    <row r="14" customFormat="false" ht="15" hidden="false" customHeight="false" outlineLevel="0" collapsed="false"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82</v>
      </c>
      <c r="J14" s="1" t="s">
        <v>83</v>
      </c>
      <c r="K14" s="1" t="s">
        <v>84</v>
      </c>
      <c r="L14" s="1" t="s">
        <v>85</v>
      </c>
    </row>
    <row r="15" customFormat="false" ht="15" hidden="false" customHeight="false" outlineLevel="0" collapsed="false">
      <c r="B15" s="15" t="n">
        <f aca="false">INDEX($C$4:$C$11,MATCH($B$1,$B$4:$B$11,0))</f>
        <v>0.329</v>
      </c>
      <c r="C15" s="15" t="n">
        <f aca="false">INDEX($D$4:$D$11,MATCH($B$1,$B$4:$B$11,0))</f>
        <v>0.95</v>
      </c>
      <c r="D15" s="15" t="n">
        <f aca="false">INDEX($E$4:$E$11,MATCH($B$1,$B$4:$B$11,0))</f>
        <v>20</v>
      </c>
      <c r="E15" s="15" t="n">
        <f aca="false">INDEX($F$4:$F$11,MATCH($B$1,$B$4:$B$11,0))</f>
        <v>20</v>
      </c>
      <c r="F15" s="15" t="n">
        <f aca="false">INDEX($G$4:$G$11,MATCH($B$1,$B$4:$B$11,0))</f>
        <v>1</v>
      </c>
      <c r="G15" s="15" t="n">
        <f aca="false">INDEX($H$4:$H$11,MATCH($B$1,$B$4:$B$11,0))</f>
        <v>0.05</v>
      </c>
      <c r="H15" s="15" t="n">
        <f aca="false">INDEX($I$4:$I$11,MATCH($B$1,$B$4:$B$11,0))</f>
        <v>0.95</v>
      </c>
      <c r="I15" s="15" t="n">
        <f aca="false">INDEX($J$4:$J$11,MATCH($B$1,$B$4:$B$11,0))</f>
        <v>1.05</v>
      </c>
      <c r="J15" s="15" t="n">
        <f aca="false">INDEX($K$4:$K$11,MATCH($B$1,$B$4:$B$11,0))</f>
        <v>1</v>
      </c>
      <c r="K15" s="15" t="n">
        <f aca="false">INDEX($L$4:$L$11,MATCH($B$1,$B$4:$B$11,0))</f>
        <v>0.9</v>
      </c>
      <c r="L15" s="15" t="n">
        <f aca="false">INDEX($M$4:$M$11,MATCH($B$1,$B$4:$B$11,0))</f>
        <v>1.1</v>
      </c>
    </row>
  </sheetData>
  <dataValidations count="1">
    <dataValidation allowBlank="false" errorStyle="stop" operator="between" showDropDown="false" showErrorMessage="false" showInputMessage="false" sqref="B1" type="list">
      <formula1>$B$4:$B$11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8"/>
  </cols>
  <sheetData>
    <row r="1" customFormat="false" ht="15" hidden="false" customHeight="false" outlineLevel="0" collapsed="false">
      <c r="A1" s="1" t="s">
        <v>110</v>
      </c>
      <c r="B1" s="3" t="s">
        <v>111</v>
      </c>
    </row>
    <row r="3" customFormat="false" ht="15" hidden="false" customHeight="false" outlineLevel="0" collapsed="false">
      <c r="A3" s="1" t="s">
        <v>112</v>
      </c>
    </row>
    <row r="4" customFormat="false" ht="15" hidden="false" customHeight="false" outlineLevel="0" collapsed="false">
      <c r="A4" s="1" t="s">
        <v>113</v>
      </c>
      <c r="B4" s="2" t="n">
        <v>0</v>
      </c>
      <c r="C4" s="2" t="n">
        <v>0.1</v>
      </c>
      <c r="D4" s="2" t="n">
        <v>0.2</v>
      </c>
      <c r="E4" s="2" t="n">
        <v>0.3</v>
      </c>
      <c r="F4" s="2" t="n">
        <v>0.4</v>
      </c>
      <c r="G4" s="2" t="n">
        <v>0.5</v>
      </c>
      <c r="H4" s="2" t="n">
        <v>0.6</v>
      </c>
      <c r="I4" s="2" t="n">
        <v>0.7</v>
      </c>
      <c r="J4" s="2" t="n">
        <v>0.8</v>
      </c>
      <c r="K4" s="2" t="n">
        <v>0.9</v>
      </c>
      <c r="L4" s="2" t="n">
        <v>1</v>
      </c>
    </row>
    <row r="5" customFormat="false" ht="15" hidden="false" customHeight="false" outlineLevel="0" collapsed="false">
      <c r="A5" s="16" t="n">
        <v>1.1</v>
      </c>
      <c r="B5" s="3" t="n">
        <v>60</v>
      </c>
      <c r="C5" s="3" t="n">
        <v>60</v>
      </c>
      <c r="D5" s="3" t="n">
        <v>60</v>
      </c>
      <c r="E5" s="3" t="n">
        <v>60</v>
      </c>
      <c r="F5" s="3" t="n">
        <v>60</v>
      </c>
      <c r="G5" s="3" t="n">
        <v>60</v>
      </c>
      <c r="H5" s="3" t="n">
        <v>60</v>
      </c>
      <c r="I5" s="3" t="n">
        <v>60</v>
      </c>
      <c r="J5" s="3" t="n">
        <v>60</v>
      </c>
      <c r="K5" s="3" t="n">
        <v>43.6</v>
      </c>
      <c r="L5" s="3" t="n">
        <v>0</v>
      </c>
    </row>
    <row r="6" customFormat="false" ht="15" hidden="false" customHeight="false" outlineLevel="0" collapsed="false">
      <c r="A6" s="16" t="n">
        <v>1.05</v>
      </c>
      <c r="B6" s="3" t="n">
        <v>60</v>
      </c>
      <c r="C6" s="3" t="n">
        <v>60</v>
      </c>
      <c r="D6" s="3" t="n">
        <v>60</v>
      </c>
      <c r="E6" s="3" t="n">
        <v>60</v>
      </c>
      <c r="F6" s="3" t="n">
        <v>60</v>
      </c>
      <c r="G6" s="3" t="n">
        <v>60</v>
      </c>
      <c r="H6" s="3" t="n">
        <v>60</v>
      </c>
      <c r="I6" s="3" t="n">
        <v>60</v>
      </c>
      <c r="J6" s="3" t="n">
        <v>60</v>
      </c>
      <c r="K6" s="3" t="n">
        <v>43.6</v>
      </c>
      <c r="L6" s="3" t="n">
        <v>0</v>
      </c>
    </row>
    <row r="7" customFormat="false" ht="15" hidden="false" customHeight="false" outlineLevel="0" collapsed="false">
      <c r="A7" s="16" t="n">
        <v>1</v>
      </c>
      <c r="B7" s="3" t="n">
        <v>60</v>
      </c>
      <c r="C7" s="3" t="n">
        <v>60</v>
      </c>
      <c r="D7" s="3" t="n">
        <v>60</v>
      </c>
      <c r="E7" s="3" t="n">
        <v>60</v>
      </c>
      <c r="F7" s="3" t="n">
        <v>60</v>
      </c>
      <c r="G7" s="3" t="n">
        <v>60</v>
      </c>
      <c r="H7" s="3" t="n">
        <v>60</v>
      </c>
      <c r="I7" s="3" t="n">
        <v>60</v>
      </c>
      <c r="J7" s="3" t="n">
        <v>60</v>
      </c>
      <c r="K7" s="3" t="n">
        <v>43.6</v>
      </c>
      <c r="L7" s="3" t="n">
        <v>0</v>
      </c>
    </row>
    <row r="8" customFormat="false" ht="15" hidden="false" customHeight="false" outlineLevel="0" collapsed="false">
      <c r="A8" s="16" t="n">
        <v>0.95</v>
      </c>
      <c r="B8" s="3" t="n">
        <v>60</v>
      </c>
      <c r="C8" s="3" t="n">
        <v>60</v>
      </c>
      <c r="D8" s="3" t="n">
        <v>60</v>
      </c>
      <c r="E8" s="3" t="n">
        <v>60</v>
      </c>
      <c r="F8" s="3" t="n">
        <v>60</v>
      </c>
      <c r="G8" s="3" t="n">
        <v>60</v>
      </c>
      <c r="H8" s="3" t="n">
        <v>60</v>
      </c>
      <c r="I8" s="3" t="n">
        <v>60</v>
      </c>
      <c r="J8" s="3" t="n">
        <v>51.2</v>
      </c>
      <c r="K8" s="3" t="n">
        <v>30.4</v>
      </c>
      <c r="L8" s="3"/>
    </row>
    <row r="9" customFormat="false" ht="15" hidden="false" customHeight="false" outlineLevel="0" collapsed="false">
      <c r="A9" s="16" t="n">
        <v>0.9</v>
      </c>
      <c r="B9" s="3" t="n">
        <v>60</v>
      </c>
      <c r="C9" s="3" t="n">
        <v>60</v>
      </c>
      <c r="D9" s="3" t="n">
        <v>60</v>
      </c>
      <c r="E9" s="3" t="n">
        <v>60</v>
      </c>
      <c r="F9" s="3" t="n">
        <v>60</v>
      </c>
      <c r="G9" s="3" t="n">
        <v>60</v>
      </c>
      <c r="H9" s="3" t="n">
        <v>60</v>
      </c>
      <c r="I9" s="3" t="n">
        <v>56.6</v>
      </c>
      <c r="J9" s="3" t="n">
        <v>41.2</v>
      </c>
      <c r="K9" s="3" t="n">
        <v>0</v>
      </c>
      <c r="L9" s="3"/>
    </row>
    <row r="10" customFormat="false" ht="15" hidden="false" customHeight="false" outlineLevel="0" collapsed="false">
      <c r="A10" s="16" t="n">
        <v>0.85</v>
      </c>
      <c r="B10" s="3" t="n">
        <v>60</v>
      </c>
      <c r="C10" s="3" t="n">
        <v>60</v>
      </c>
      <c r="D10" s="3" t="n">
        <v>60</v>
      </c>
      <c r="E10" s="3" t="n">
        <v>60</v>
      </c>
      <c r="F10" s="3" t="n">
        <v>60</v>
      </c>
      <c r="G10" s="3" t="n">
        <v>60</v>
      </c>
      <c r="H10" s="3" t="n">
        <v>60</v>
      </c>
      <c r="I10" s="3" t="n">
        <v>48.2</v>
      </c>
      <c r="J10" s="3" t="n">
        <v>28.7</v>
      </c>
      <c r="K10" s="3"/>
      <c r="L10" s="3"/>
    </row>
    <row r="13" customFormat="false" ht="15" hidden="false" customHeight="false" outlineLevel="0" collapsed="false">
      <c r="A13" s="1" t="s">
        <v>114</v>
      </c>
    </row>
    <row r="14" customFormat="false" ht="15" hidden="false" customHeight="false" outlineLevel="0" collapsed="false">
      <c r="A14" s="0" t="s">
        <v>115</v>
      </c>
      <c r="B14" s="8" t="n">
        <f aca="false">Sizing!B33</f>
        <v>0.918</v>
      </c>
    </row>
    <row r="15" customFormat="false" ht="15" hidden="false" customHeight="false" outlineLevel="0" collapsed="false">
      <c r="A15" s="0" t="s">
        <v>116</v>
      </c>
      <c r="B15" s="5" t="n">
        <f aca="false">IF($B$14&gt;=1,IF(ISNUMBER(INDEX($B$7:$L$7,1,11)),INDEX($B$7:$L$7,1,11),0),IF(OR(NOT(ISNUMBER(INDEX($B$7:$L$7,1,MATCH($B$14,$B$4:$L$4,1))))),0,IF($B$14=INDEX($B$4:$L$4,1,MATCH($B$14,$B$4:$L$4,1)),INDEX($B$7:$L$7,1,MATCH($B$14,$B$4:$L$4,1)),IF(NOT(ISNUMBER(INDEX($B$7:$L$7,1,MATCH($B$14,$B$4:$L$4,1)+1))),0,INDEX($B$7:$L$7,1,MATCH($B$14,$B$4:$L$4,1))+(INDEX($B$7:$L$7,1,MATCH($B$14,$B$4:$L$4,1)+1)-INDEX($B$7:$L$7,1,MATCH($B$14,$B$4:$L$4,1)))*($B$14-INDEX($B$4:$L$4,1,MATCH($B$14,$B$4:$L$4,1)))/(INDEX($B$4:$L$4,1,MATCH($B$14,$B$4:$L$4,1)+1)-INDEX($B$4:$L$4,1,MATCH($B$14,$B$4:$L$4,1)))))))</f>
        <v>35.752</v>
      </c>
    </row>
    <row r="16" customFormat="false" ht="15" hidden="false" customHeight="false" outlineLevel="0" collapsed="false">
      <c r="A16" s="0" t="s">
        <v>117</v>
      </c>
      <c r="B16" s="6" t="n">
        <f aca="false">B15/100*Sizing!B32</f>
        <v>129.77976</v>
      </c>
    </row>
  </sheetData>
  <dataValidations count="1">
    <dataValidation allowBlank="false" errorStyle="stop" operator="between" showDropDown="false" showErrorMessage="false" showInputMessage="false" sqref="B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1" min="1" style="0" width="12"/>
  </cols>
  <sheetData>
    <row r="1" customFormat="false" ht="15" hidden="false" customHeight="false" outlineLevel="0" collapsed="false">
      <c r="A1" s="2" t="s">
        <v>118</v>
      </c>
    </row>
    <row r="2" customFormat="false" ht="15" hidden="false" customHeight="false" outlineLevel="0" collapsed="false">
      <c r="A2" s="0" t="s">
        <v>119</v>
      </c>
      <c r="B2" s="6" t="n">
        <f aca="false">Sizing!B29*1000/Sizing!B44</f>
        <v>299.683516483517</v>
      </c>
      <c r="C2" s="4" t="s">
        <v>54</v>
      </c>
    </row>
    <row r="3" customFormat="false" ht="15" hidden="false" customHeight="false" outlineLevel="0" collapsed="false">
      <c r="A3" s="0" t="s">
        <v>120</v>
      </c>
      <c r="B3" s="8" t="n">
        <f aca="false">B2/Sizing!B32</f>
        <v>0.825574425574426</v>
      </c>
      <c r="C3" s="4" t="s">
        <v>121</v>
      </c>
    </row>
    <row r="4" customFormat="false" ht="15" hidden="false" customHeight="false" outlineLevel="0" collapsed="false">
      <c r="A4" s="0" t="s">
        <v>122</v>
      </c>
      <c r="B4" s="5" t="n">
        <f aca="false">GridCodes!B15*Sizing!B5</f>
        <v>17.3712</v>
      </c>
      <c r="C4" s="4" t="s">
        <v>25</v>
      </c>
    </row>
    <row r="6" customFormat="false" ht="15" hidden="false" customHeight="false" outlineLevel="0" collapsed="false">
      <c r="A6" s="2" t="s">
        <v>123</v>
      </c>
    </row>
    <row r="7" customFormat="false" ht="15" hidden="false" customHeight="false" outlineLevel="0" collapsed="false">
      <c r="A7" s="1" t="s">
        <v>124</v>
      </c>
      <c r="B7" s="1" t="s">
        <v>125</v>
      </c>
      <c r="C7" s="1" t="s">
        <v>126</v>
      </c>
      <c r="D7" s="1" t="s">
        <v>127</v>
      </c>
      <c r="E7" s="1" t="s">
        <v>128</v>
      </c>
      <c r="F7" s="1" t="s">
        <v>129</v>
      </c>
      <c r="G7" s="1" t="s">
        <v>130</v>
      </c>
      <c r="I7" s="1" t="s">
        <v>131</v>
      </c>
      <c r="N7" s="1" t="s">
        <v>132</v>
      </c>
    </row>
    <row r="8" customFormat="false" ht="15" hidden="false" customHeight="false" outlineLevel="0" collapsed="false">
      <c r="A8" s="5" t="n">
        <f aca="false">InverterPQ!A5</f>
        <v>1.1</v>
      </c>
      <c r="B8" s="6" t="n">
        <f aca="false">IF($B$3&gt;=1,IF(ISNUMBER(INDEX(InverterPQ!$B$5:$L$5,1,11)),INDEX(InverterPQ!$B$5:$L$5,1,11),0),IF(OR(NOT(ISNUMBER(INDEX(InverterPQ!$B$5:$L$5,1,MATCH($B$3,InverterPQ!$B$4:$L$4,1))))),0,IF($B$3=INDEX(InverterPQ!$B$4:$L$4,1,MATCH($B$3,InverterPQ!$B$4:$L$4,1)),INDEX(InverterPQ!$B$5:$L$5,1,MATCH($B$3,InverterPQ!$B$4:$L$4,1)),IF(NOT(ISNUMBER(INDEX(InverterPQ!$B$5:$L$5,1,MATCH($B$3,InverterPQ!$B$4:$L$4,1)+1))),0,INDEX(InverterPQ!$B$5:$L$5,1,MATCH($B$3,InverterPQ!$B$4:$L$4,1))+(INDEX(InverterPQ!$B$5:$L$5,1,MATCH($B$3,InverterPQ!$B$4:$L$4,1)+1)-INDEX(InverterPQ!$B$5:$L$5,1,MATCH($B$3,InverterPQ!$B$4:$L$4,1)))*($B$3-INDEX(InverterPQ!$B$4:$L$4,1,MATCH($B$3,InverterPQ!$B$4:$L$4,1)))/(INDEX(InverterPQ!$B$4:$L$4,1,MATCH($B$3,InverterPQ!$B$4:$L$4,1)+1)-INDEX(InverterPQ!$B$4:$L$4,1,MATCH($B$3,InverterPQ!$B$4:$L$4,1)))))))</f>
        <v>55.8057942057942</v>
      </c>
      <c r="C8" s="5" t="n">
        <f aca="false">Sizing!$B$44*B8/100*Sizing!$B$32/1000+Sizing!$B$39-Sizing!$B$19</f>
        <v>30.622812</v>
      </c>
      <c r="D8" s="5" t="n">
        <f aca="false">Sizing!$B$44*B8/100*Sizing!$B$32/1000+Sizing!$B$19</f>
        <v>43.1145</v>
      </c>
      <c r="E8" s="5" t="n">
        <f aca="false">$B$4*(IF(GridCodes!$J$15=1,IF(OR(A8&lt;GridCodes!$H$15-0.0001,A8&gt;GridCodes!$I$15+0.0001),0,IF(A8&lt;=1,1,(GridCodes!$I$15-A8)/(GridCodes!$I$15-1))),IF(OR(A8&lt;=GridCodes!$K$15,A8&gt;=GridCodes!$L$15),0,IF(A8&lt;GridCodes!$H$15,(A8-GridCodes!$K$15)/(GridCodes!$H$15-GridCodes!$K$15),IF(A8&gt;GridCodes!$I$15,(GridCodes!$L$15-A8)/(GridCodes!$L$15-GridCodes!$I$15),1)))))</f>
        <v>0</v>
      </c>
      <c r="F8" s="5" t="n">
        <f aca="false">$B$4*(IF(GridCodes!$J$15=1,IF(OR(A8&lt;GridCodes!$H$15-0.0001,A8&gt;GridCodes!$I$15+0.0001),0,IF(A8&gt;=1,1,(A8-GridCodes!$H$15)/(1-GridCodes!$H$15))),IF(OR(A8&lt;=GridCodes!$K$15,A8&gt;=GridCodes!$L$15),0,IF(A8&lt;GridCodes!$H$15,(A8-GridCodes!$K$15)/(GridCodes!$H$15-GridCodes!$K$15),IF(A8&gt;GridCodes!$I$15,(GridCodes!$L$15-A8)/(GridCodes!$L$15-GridCodes!$I$15),1)))))</f>
        <v>0</v>
      </c>
      <c r="G8" s="15" t="str">
        <f aca="false">IF(AND(MAX(0,C8)&gt;=E8-0.001,MAX(0,D8)&gt;=F8-0.001),"PASS","FAIL")</f>
        <v>PASS</v>
      </c>
      <c r="I8" s="4" t="s">
        <v>133</v>
      </c>
      <c r="J8" s="4" t="s">
        <v>134</v>
      </c>
      <c r="N8" s="5" t="n">
        <f aca="false">-D8</f>
        <v>-43.1145</v>
      </c>
    </row>
    <row r="9" customFormat="false" ht="15" hidden="false" customHeight="false" outlineLevel="0" collapsed="false">
      <c r="A9" s="5" t="n">
        <f aca="false">InverterPQ!A6</f>
        <v>1.05</v>
      </c>
      <c r="B9" s="6" t="n">
        <f aca="false">IF($B$3&gt;=1,IF(ISNUMBER(INDEX(InverterPQ!$B$6:$L$6,1,11)),INDEX(InverterPQ!$B$6:$L$6,1,11),0),IF(OR(NOT(ISNUMBER(INDEX(InverterPQ!$B$6:$L$6,1,MATCH($B$3,InverterPQ!$B$4:$L$4,1))))),0,IF($B$3=INDEX(InverterPQ!$B$4:$L$4,1,MATCH($B$3,InverterPQ!$B$4:$L$4,1)),INDEX(InverterPQ!$B$6:$L$6,1,MATCH($B$3,InverterPQ!$B$4:$L$4,1)),IF(NOT(ISNUMBER(INDEX(InverterPQ!$B$6:$L$6,1,MATCH($B$3,InverterPQ!$B$4:$L$4,1)+1))),0,INDEX(InverterPQ!$B$6:$L$6,1,MATCH($B$3,InverterPQ!$B$4:$L$4,1))+(INDEX(InverterPQ!$B$6:$L$6,1,MATCH($B$3,InverterPQ!$B$4:$L$4,1)+1)-INDEX(InverterPQ!$B$6:$L$6,1,MATCH($B$3,InverterPQ!$B$4:$L$4,1)))*($B$3-INDEX(InverterPQ!$B$4:$L$4,1,MATCH($B$3,InverterPQ!$B$4:$L$4,1)))/(INDEX(InverterPQ!$B$4:$L$4,1,MATCH($B$3,InverterPQ!$B$4:$L$4,1)+1)-INDEX(InverterPQ!$B$4:$L$4,1,MATCH($B$3,InverterPQ!$B$4:$L$4,1)))))))</f>
        <v>55.8057942057942</v>
      </c>
      <c r="C9" s="5" t="n">
        <f aca="false">Sizing!$B$44*B9/100*Sizing!$B$32/1000+Sizing!$B$39-Sizing!$B$19</f>
        <v>30.622812</v>
      </c>
      <c r="D9" s="5" t="n">
        <f aca="false">Sizing!$B$44*B9/100*Sizing!$B$32/1000+Sizing!$B$19</f>
        <v>43.1145</v>
      </c>
      <c r="E9" s="5" t="n">
        <f aca="false">$B$4*(IF(GridCodes!$J$15=1,IF(OR(A9&lt;GridCodes!$H$15-0.0001,A9&gt;GridCodes!$I$15+0.0001),0,IF(A9&lt;=1,1,(GridCodes!$I$15-A9)/(GridCodes!$I$15-1))),IF(OR(A9&lt;=GridCodes!$K$15,A9&gt;=GridCodes!$L$15),0,IF(A9&lt;GridCodes!$H$15,(A9-GridCodes!$K$15)/(GridCodes!$H$15-GridCodes!$K$15),IF(A9&gt;GridCodes!$I$15,(GridCodes!$L$15-A9)/(GridCodes!$L$15-GridCodes!$I$15),1)))))</f>
        <v>0</v>
      </c>
      <c r="F9" s="5" t="n">
        <f aca="false">$B$4*(IF(GridCodes!$J$15=1,IF(OR(A9&lt;GridCodes!$H$15-0.0001,A9&gt;GridCodes!$I$15+0.0001),0,IF(A9&gt;=1,1,(A9-GridCodes!$H$15)/(1-GridCodes!$H$15))),IF(OR(A9&lt;=GridCodes!$K$15,A9&gt;=GridCodes!$L$15),0,IF(A9&lt;GridCodes!$H$15,(A9-GridCodes!$K$15)/(GridCodes!$H$15-GridCodes!$K$15),IF(A9&gt;GridCodes!$I$15,(GridCodes!$L$15-A9)/(GridCodes!$L$15-GridCodes!$I$15),1)))))</f>
        <v>17.3712</v>
      </c>
      <c r="G9" s="15" t="str">
        <f aca="false">IF(AND(MAX(0,C9)&gt;=E9-0.001,MAX(0,D9)&gt;=F9-0.001),"PASS","FAIL")</f>
        <v>PASS</v>
      </c>
      <c r="I9" s="5" t="n">
        <f aca="false">0</f>
        <v>0</v>
      </c>
      <c r="J9" s="5" t="n">
        <f aca="false">IF(GridCodes!$J$15=1,GridCodes!$H$15,GridCodes!$K$15)</f>
        <v>0.95</v>
      </c>
      <c r="N9" s="5" t="n">
        <f aca="false">-D9</f>
        <v>-43.1145</v>
      </c>
    </row>
    <row r="10" customFormat="false" ht="15" hidden="false" customHeight="false" outlineLevel="0" collapsed="false">
      <c r="A10" s="5" t="n">
        <f aca="false">InverterPQ!A7</f>
        <v>1</v>
      </c>
      <c r="B10" s="6" t="n">
        <f aca="false">IF($B$3&gt;=1,IF(ISNUMBER(INDEX(InverterPQ!$B$7:$L$7,1,11)),INDEX(InverterPQ!$B$7:$L$7,1,11),0),IF(OR(NOT(ISNUMBER(INDEX(InverterPQ!$B$7:$L$7,1,MATCH($B$3,InverterPQ!$B$4:$L$4,1))))),0,IF($B$3=INDEX(InverterPQ!$B$4:$L$4,1,MATCH($B$3,InverterPQ!$B$4:$L$4,1)),INDEX(InverterPQ!$B$7:$L$7,1,MATCH($B$3,InverterPQ!$B$4:$L$4,1)),IF(NOT(ISNUMBER(INDEX(InverterPQ!$B$7:$L$7,1,MATCH($B$3,InverterPQ!$B$4:$L$4,1)+1))),0,INDEX(InverterPQ!$B$7:$L$7,1,MATCH($B$3,InverterPQ!$B$4:$L$4,1))+(INDEX(InverterPQ!$B$7:$L$7,1,MATCH($B$3,InverterPQ!$B$4:$L$4,1)+1)-INDEX(InverterPQ!$B$7:$L$7,1,MATCH($B$3,InverterPQ!$B$4:$L$4,1)))*($B$3-INDEX(InverterPQ!$B$4:$L$4,1,MATCH($B$3,InverterPQ!$B$4:$L$4,1)))/(INDEX(InverterPQ!$B$4:$L$4,1,MATCH($B$3,InverterPQ!$B$4:$L$4,1)+1)-INDEX(InverterPQ!$B$4:$L$4,1,MATCH($B$3,InverterPQ!$B$4:$L$4,1)))))))</f>
        <v>55.8057942057942</v>
      </c>
      <c r="C10" s="5" t="n">
        <f aca="false">Sizing!$B$44*B10/100*Sizing!$B$32/1000+Sizing!$B$39-Sizing!$B$19</f>
        <v>30.622812</v>
      </c>
      <c r="D10" s="5" t="n">
        <f aca="false">Sizing!$B$44*B10/100*Sizing!$B$32/1000+Sizing!$B$19</f>
        <v>43.1145</v>
      </c>
      <c r="E10" s="5" t="n">
        <f aca="false">$B$4*(IF(GridCodes!$J$15=1,IF(OR(A10&lt;GridCodes!$H$15-0.0001,A10&gt;GridCodes!$I$15+0.0001),0,IF(A10&lt;=1,1,(GridCodes!$I$15-A10)/(GridCodes!$I$15-1))),IF(OR(A10&lt;=GridCodes!$K$15,A10&gt;=GridCodes!$L$15),0,IF(A10&lt;GridCodes!$H$15,(A10-GridCodes!$K$15)/(GridCodes!$H$15-GridCodes!$K$15),IF(A10&gt;GridCodes!$I$15,(GridCodes!$L$15-A10)/(GridCodes!$L$15-GridCodes!$I$15),1)))))</f>
        <v>17.3712</v>
      </c>
      <c r="F10" s="5" t="n">
        <f aca="false">$B$4*(IF(GridCodes!$J$15=1,IF(OR(A10&lt;GridCodes!$H$15-0.0001,A10&gt;GridCodes!$I$15+0.0001),0,IF(A10&gt;=1,1,(A10-GridCodes!$H$15)/(1-GridCodes!$H$15))),IF(OR(A10&lt;=GridCodes!$K$15,A10&gt;=GridCodes!$L$15),0,IF(A10&lt;GridCodes!$H$15,(A10-GridCodes!$K$15)/(GridCodes!$H$15-GridCodes!$K$15),IF(A10&gt;GridCodes!$I$15,(GridCodes!$L$15-A10)/(GridCodes!$L$15-GridCodes!$I$15),1)))))</f>
        <v>17.3712</v>
      </c>
      <c r="G10" s="15" t="str">
        <f aca="false">IF(AND(MAX(0,C10)&gt;=E10-0.001,MAX(0,D10)&gt;=F10-0.001),"PASS","FAIL")</f>
        <v>PASS</v>
      </c>
      <c r="I10" s="5" t="n">
        <f aca="false">$B$4</f>
        <v>17.3712</v>
      </c>
      <c r="J10" s="5" t="n">
        <f aca="false">GridCodes!$H$15</f>
        <v>0.95</v>
      </c>
      <c r="N10" s="5" t="n">
        <f aca="false">-D10</f>
        <v>-43.1145</v>
      </c>
    </row>
    <row r="11" customFormat="false" ht="15" hidden="false" customHeight="false" outlineLevel="0" collapsed="false">
      <c r="A11" s="5" t="n">
        <f aca="false">InverterPQ!A8</f>
        <v>0.95</v>
      </c>
      <c r="B11" s="6" t="n">
        <f aca="false">IF($B$3&gt;=1,IF(ISNUMBER(INDEX(InverterPQ!$B$8:$L$8,1,11)),INDEX(InverterPQ!$B$8:$L$8,1,11),0),IF(OR(NOT(ISNUMBER(INDEX(InverterPQ!$B$8:$L$8,1,MATCH($B$3,InverterPQ!$B$4:$L$4,1))))),0,IF($B$3=INDEX(InverterPQ!$B$4:$L$4,1,MATCH($B$3,InverterPQ!$B$4:$L$4,1)),INDEX(InverterPQ!$B$8:$L$8,1,MATCH($B$3,InverterPQ!$B$4:$L$4,1)),IF(NOT(ISNUMBER(INDEX(InverterPQ!$B$8:$L$8,1,MATCH($B$3,InverterPQ!$B$4:$L$4,1)+1))),0,INDEX(InverterPQ!$B$8:$L$8,1,MATCH($B$3,InverterPQ!$B$4:$L$4,1))+(INDEX(InverterPQ!$B$8:$L$8,1,MATCH($B$3,InverterPQ!$B$4:$L$4,1)+1)-INDEX(InverterPQ!$B$8:$L$8,1,MATCH($B$3,InverterPQ!$B$4:$L$4,1)))*($B$3-INDEX(InverterPQ!$B$4:$L$4,1,MATCH($B$3,InverterPQ!$B$4:$L$4,1)))/(INDEX(InverterPQ!$B$4:$L$4,1,MATCH($B$3,InverterPQ!$B$4:$L$4,1)+1)-INDEX(InverterPQ!$B$4:$L$4,1,MATCH($B$3,InverterPQ!$B$4:$L$4,1)))))))</f>
        <v>45.8805194805195</v>
      </c>
      <c r="C11" s="5" t="n">
        <f aca="false">Sizing!$B$44*B11/100*Sizing!$B$32/1000+Sizing!$B$39-Sizing!$B$19</f>
        <v>24.06558</v>
      </c>
      <c r="D11" s="5" t="n">
        <f aca="false">Sizing!$B$44*B11/100*Sizing!$B$32/1000+Sizing!$B$19</f>
        <v>36.557268</v>
      </c>
      <c r="E11" s="5" t="n">
        <f aca="false">$B$4*(IF(GridCodes!$J$15=1,IF(OR(A11&lt;GridCodes!$H$15-0.0001,A11&gt;GridCodes!$I$15+0.0001),0,IF(A11&lt;=1,1,(GridCodes!$I$15-A11)/(GridCodes!$I$15-1))),IF(OR(A11&lt;=GridCodes!$K$15,A11&gt;=GridCodes!$L$15),0,IF(A11&lt;GridCodes!$H$15,(A11-GridCodes!$K$15)/(GridCodes!$H$15-GridCodes!$K$15),IF(A11&gt;GridCodes!$I$15,(GridCodes!$L$15-A11)/(GridCodes!$L$15-GridCodes!$I$15),1)))))</f>
        <v>17.3712</v>
      </c>
      <c r="F11" s="5" t="n">
        <f aca="false">$B$4*(IF(GridCodes!$J$15=1,IF(OR(A11&lt;GridCodes!$H$15-0.0001,A11&gt;GridCodes!$I$15+0.0001),0,IF(A11&gt;=1,1,(A11-GridCodes!$H$15)/(1-GridCodes!$H$15))),IF(OR(A11&lt;=GridCodes!$K$15,A11&gt;=GridCodes!$L$15),0,IF(A11&lt;GridCodes!$H$15,(A11-GridCodes!$K$15)/(GridCodes!$H$15-GridCodes!$K$15),IF(A11&gt;GridCodes!$I$15,(GridCodes!$L$15-A11)/(GridCodes!$L$15-GridCodes!$I$15),1)))))</f>
        <v>0</v>
      </c>
      <c r="G11" s="15" t="str">
        <f aca="false">IF(AND(MAX(0,C11)&gt;=E11-0.001,MAX(0,D11)&gt;=F11-0.001),"PASS","FAIL")</f>
        <v>PASS</v>
      </c>
      <c r="I11" s="5" t="n">
        <f aca="false">$B$4</f>
        <v>17.3712</v>
      </c>
      <c r="J11" s="5" t="n">
        <f aca="false">IF(GridCodes!$J$15=1,1,GridCodes!$I$15)</f>
        <v>1</v>
      </c>
      <c r="N11" s="5" t="n">
        <f aca="false">-D11</f>
        <v>-36.557268</v>
      </c>
    </row>
    <row r="12" customFormat="false" ht="15" hidden="false" customHeight="false" outlineLevel="0" collapsed="false">
      <c r="A12" s="5" t="n">
        <f aca="false">InverterPQ!A9</f>
        <v>0.9</v>
      </c>
      <c r="B12" s="6" t="n">
        <f aca="false">IF($B$3&gt;=1,IF(ISNUMBER(INDEX(InverterPQ!$B$9:$L$9,1,11)),INDEX(InverterPQ!$B$9:$L$9,1,11),0),IF(OR(NOT(ISNUMBER(INDEX(InverterPQ!$B$9:$L$9,1,MATCH($B$3,InverterPQ!$B$4:$L$4,1))))),0,IF($B$3=INDEX(InverterPQ!$B$4:$L$4,1,MATCH($B$3,InverterPQ!$B$4:$L$4,1)),INDEX(InverterPQ!$B$9:$L$9,1,MATCH($B$3,InverterPQ!$B$4:$L$4,1)),IF(NOT(ISNUMBER(INDEX(InverterPQ!$B$9:$L$9,1,MATCH($B$3,InverterPQ!$B$4:$L$4,1)+1))),0,INDEX(InverterPQ!$B$9:$L$9,1,MATCH($B$3,InverterPQ!$B$4:$L$4,1))+(INDEX(InverterPQ!$B$9:$L$9,1,MATCH($B$3,InverterPQ!$B$4:$L$4,1)+1)-INDEX(InverterPQ!$B$9:$L$9,1,MATCH($B$3,InverterPQ!$B$4:$L$4,1)))*($B$3-INDEX(InverterPQ!$B$4:$L$4,1,MATCH($B$3,InverterPQ!$B$4:$L$4,1)))/(INDEX(InverterPQ!$B$4:$L$4,1,MATCH($B$3,InverterPQ!$B$4:$L$4,1)+1)-INDEX(InverterPQ!$B$4:$L$4,1,MATCH($B$3,InverterPQ!$B$4:$L$4,1)))))))</f>
        <v>30.6633366633367</v>
      </c>
      <c r="C12" s="5" t="n">
        <f aca="false">Sizing!$B$44*B12/100*Sizing!$B$32/1000+Sizing!$B$39-Sizing!$B$19</f>
        <v>14.012196</v>
      </c>
      <c r="D12" s="5" t="n">
        <f aca="false">Sizing!$B$44*B12/100*Sizing!$B$32/1000+Sizing!$B$19</f>
        <v>26.503884</v>
      </c>
      <c r="E12" s="5" t="n">
        <f aca="false">$B$4*(IF(GridCodes!$J$15=1,IF(OR(A12&lt;GridCodes!$H$15-0.0001,A12&gt;GridCodes!$I$15+0.0001),0,IF(A12&lt;=1,1,(GridCodes!$I$15-A12)/(GridCodes!$I$15-1))),IF(OR(A12&lt;=GridCodes!$K$15,A12&gt;=GridCodes!$L$15),0,IF(A12&lt;GridCodes!$H$15,(A12-GridCodes!$K$15)/(GridCodes!$H$15-GridCodes!$K$15),IF(A12&gt;GridCodes!$I$15,(GridCodes!$L$15-A12)/(GridCodes!$L$15-GridCodes!$I$15),1)))))</f>
        <v>0</v>
      </c>
      <c r="F12" s="5" t="n">
        <f aca="false">$B$4*(IF(GridCodes!$J$15=1,IF(OR(A12&lt;GridCodes!$H$15-0.0001,A12&gt;GridCodes!$I$15+0.0001),0,IF(A12&gt;=1,1,(A12-GridCodes!$H$15)/(1-GridCodes!$H$15))),IF(OR(A12&lt;=GridCodes!$K$15,A12&gt;=GridCodes!$L$15),0,IF(A12&lt;GridCodes!$H$15,(A12-GridCodes!$K$15)/(GridCodes!$H$15-GridCodes!$K$15),IF(A12&gt;GridCodes!$I$15,(GridCodes!$L$15-A12)/(GridCodes!$L$15-GridCodes!$I$15),1)))))</f>
        <v>0</v>
      </c>
      <c r="G12" s="15" t="str">
        <f aca="false">IF(AND(MAX(0,C12)&gt;=E12-0.001,MAX(0,D12)&gt;=F12-0.001),"PASS","FAIL")</f>
        <v>PASS</v>
      </c>
      <c r="I12" s="5" t="n">
        <f aca="false">0</f>
        <v>0</v>
      </c>
      <c r="J12" s="5" t="n">
        <f aca="false">IF(GridCodes!$J$15=1,GridCodes!$I$15,GridCodes!$L$15)</f>
        <v>1.05</v>
      </c>
      <c r="N12" s="5" t="n">
        <f aca="false">-D12</f>
        <v>-26.503884</v>
      </c>
    </row>
    <row r="13" customFormat="false" ht="15" hidden="false" customHeight="false" outlineLevel="0" collapsed="false">
      <c r="A13" s="5" t="n">
        <f aca="false">InverterPQ!A10</f>
        <v>0.85</v>
      </c>
      <c r="B13" s="6" t="n">
        <f aca="false">IF($B$3&gt;=1,IF(ISNUMBER(INDEX(InverterPQ!$B$10:$L$10,1,11)),INDEX(InverterPQ!$B$10:$L$10,1,11),0),IF(OR(NOT(ISNUMBER(INDEX(InverterPQ!$B$10:$L$10,1,MATCH($B$3,InverterPQ!$B$4:$L$4,1))))),0,IF($B$3=INDEX(InverterPQ!$B$4:$L$4,1,MATCH($B$3,InverterPQ!$B$4:$L$4,1)),INDEX(InverterPQ!$B$10:$L$10,1,MATCH($B$3,InverterPQ!$B$4:$L$4,1)),IF(NOT(ISNUMBER(INDEX(InverterPQ!$B$10:$L$10,1,MATCH($B$3,InverterPQ!$B$4:$L$4,1)+1))),0,INDEX(InverterPQ!$B$10:$L$10,1,MATCH($B$3,InverterPQ!$B$4:$L$4,1))+(INDEX(InverterPQ!$B$10:$L$10,1,MATCH($B$3,InverterPQ!$B$4:$L$4,1)+1)-INDEX(InverterPQ!$B$10:$L$10,1,MATCH($B$3,InverterPQ!$B$4:$L$4,1)))*($B$3-INDEX(InverterPQ!$B$4:$L$4,1,MATCH($B$3,InverterPQ!$B$4:$L$4,1)))/(INDEX(InverterPQ!$B$4:$L$4,1,MATCH($B$3,InverterPQ!$B$4:$L$4,1)+1)-INDEX(InverterPQ!$B$4:$L$4,1,MATCH($B$3,InverterPQ!$B$4:$L$4,1)))))))</f>
        <v>0</v>
      </c>
      <c r="C13" s="5" t="n">
        <f aca="false">Sizing!$B$44*B13/100*Sizing!$B$32/1000+Sizing!$B$39-Sizing!$B$19</f>
        <v>-6.245844</v>
      </c>
      <c r="D13" s="5" t="n">
        <f aca="false">Sizing!$B$44*B13/100*Sizing!$B$32/1000+Sizing!$B$19</f>
        <v>6.245844</v>
      </c>
      <c r="E13" s="5" t="n">
        <f aca="false">$B$4*(IF(GridCodes!$J$15=1,IF(OR(A13&lt;GridCodes!$H$15-0.0001,A13&gt;GridCodes!$I$15+0.0001),0,IF(A13&lt;=1,1,(GridCodes!$I$15-A13)/(GridCodes!$I$15-1))),IF(OR(A13&lt;=GridCodes!$K$15,A13&gt;=GridCodes!$L$15),0,IF(A13&lt;GridCodes!$H$15,(A13-GridCodes!$K$15)/(GridCodes!$H$15-GridCodes!$K$15),IF(A13&gt;GridCodes!$I$15,(GridCodes!$L$15-A13)/(GridCodes!$L$15-GridCodes!$I$15),1)))))</f>
        <v>0</v>
      </c>
      <c r="F13" s="5" t="n">
        <f aca="false">$B$4*(IF(GridCodes!$J$15=1,IF(OR(A13&lt;GridCodes!$H$15-0.0001,A13&gt;GridCodes!$I$15+0.0001),0,IF(A13&gt;=1,1,(A13-GridCodes!$H$15)/(1-GridCodes!$H$15))),IF(OR(A13&lt;=GridCodes!$K$15,A13&gt;=GridCodes!$L$15),0,IF(A13&lt;GridCodes!$H$15,(A13-GridCodes!$K$15)/(GridCodes!$H$15-GridCodes!$K$15),IF(A13&gt;GridCodes!$I$15,(GridCodes!$L$15-A13)/(GridCodes!$L$15-GridCodes!$I$15),1)))))</f>
        <v>0</v>
      </c>
      <c r="G13" s="15" t="str">
        <f aca="false">IF(AND(MAX(0,C13)&gt;=E13-0.001,MAX(0,D13)&gt;=F13-0.001),"PASS","FAIL")</f>
        <v>PASS</v>
      </c>
      <c r="I13" s="5" t="n">
        <f aca="false">-$B$4</f>
        <v>-17.3712</v>
      </c>
      <c r="J13" s="5" t="n">
        <f aca="false">GridCodes!$I$15</f>
        <v>1.05</v>
      </c>
      <c r="N13" s="5" t="n">
        <f aca="false">-D13</f>
        <v>-6.245844</v>
      </c>
    </row>
    <row r="14" customFormat="false" ht="15" hidden="false" customHeight="false" outlineLevel="0" collapsed="false">
      <c r="I14" s="5" t="n">
        <f aca="false">-$B$4</f>
        <v>-17.3712</v>
      </c>
      <c r="J14" s="5" t="n">
        <f aca="false">IF(GridCodes!$J$15=1,1,GridCodes!$H$15)</f>
        <v>1</v>
      </c>
    </row>
    <row r="15" customFormat="false" ht="15" hidden="false" customHeight="false" outlineLevel="0" collapsed="false">
      <c r="I15" s="5" t="n">
        <f aca="false">0</f>
        <v>0</v>
      </c>
      <c r="J15" s="5" t="n">
        <f aca="false">IF(GridCodes!$J$15=1,GridCodes!$H$15,GridCodes!$K$15)</f>
        <v>0.95</v>
      </c>
    </row>
    <row r="20" customFormat="false" ht="15" hidden="false" customHeight="false" outlineLevel="0" collapsed="false">
      <c r="A20" s="2" t="s">
        <v>135</v>
      </c>
    </row>
    <row r="21" customFormat="false" ht="15" hidden="false" customHeight="false" outlineLevel="0" collapsed="false">
      <c r="A21" s="1" t="s">
        <v>136</v>
      </c>
      <c r="B21" s="1" t="s">
        <v>137</v>
      </c>
      <c r="C21" s="1" t="s">
        <v>138</v>
      </c>
      <c r="D21" s="1" t="s">
        <v>139</v>
      </c>
      <c r="E21" s="1" t="s">
        <v>125</v>
      </c>
      <c r="F21" s="1" t="s">
        <v>140</v>
      </c>
      <c r="G21" s="1" t="s">
        <v>141</v>
      </c>
      <c r="H21" s="1" t="s">
        <v>128</v>
      </c>
      <c r="I21" s="1" t="s">
        <v>129</v>
      </c>
      <c r="J21" s="1" t="s">
        <v>130</v>
      </c>
      <c r="K21" s="1" t="s">
        <v>142</v>
      </c>
      <c r="L21" s="1" t="s">
        <v>143</v>
      </c>
    </row>
    <row r="22" customFormat="false" ht="15" hidden="false" customHeight="false" outlineLevel="0" collapsed="false">
      <c r="A22" s="17" t="n">
        <v>0</v>
      </c>
      <c r="B22" s="6" t="n">
        <f aca="false">A22*Sizing!$B$5</f>
        <v>0</v>
      </c>
      <c r="C22" s="6" t="n">
        <f aca="false">A22*Sizing!$B$29*1000/Sizing!$B$44</f>
        <v>0</v>
      </c>
      <c r="D22" s="8" t="n">
        <f aca="false">C22/Sizing!$B$32</f>
        <v>0</v>
      </c>
      <c r="E22" s="6" t="n">
        <f aca="false">IF($D$22&gt;=1,IF(ISNUMBER(INDEX(InverterPQ!$B$7:$L$7,1,11)),INDEX(InverterPQ!$B$7:$L$7,1,11),0),IF(OR(NOT(ISNUMBER(INDEX(InverterPQ!$B$7:$L$7,1,MATCH($D$22,InverterPQ!$B$4:$L$4,1))))),0,IF($D$22=INDEX(InverterPQ!$B$4:$L$4,1,MATCH($D$22,InverterPQ!$B$4:$L$4,1)),INDEX(InverterPQ!$B$7:$L$7,1,MATCH($D$22,InverterPQ!$B$4:$L$4,1)),IF(NOT(ISNUMBER(INDEX(InverterPQ!$B$7:$L$7,1,MATCH($D$22,InverterPQ!$B$4:$L$4,1)+1))),0,INDEX(InverterPQ!$B$7:$L$7,1,MATCH($D$22,InverterPQ!$B$4:$L$4,1))+(INDEX(InverterPQ!$B$7:$L$7,1,MATCH($D$22,InverterPQ!$B$4:$L$4,1)+1)-INDEX(InverterPQ!$B$7:$L$7,1,MATCH($D$22,InverterPQ!$B$4:$L$4,1)))*($D$22-INDEX(InverterPQ!$B$4:$L$4,1,MATCH($D$22,InverterPQ!$B$4:$L$4,1)))/(INDEX(InverterPQ!$B$4:$L$4,1,MATCH($D$22,InverterPQ!$B$4:$L$4,1)+1)-INDEX(InverterPQ!$B$4:$L$4,1,MATCH($D$22,InverterPQ!$B$4:$L$4,1)))))))</f>
        <v>60</v>
      </c>
      <c r="F22" s="5" t="n">
        <f aca="false">Sizing!$B$44*E22/100*Sizing!$B$32/1000+Sizing!$B$39-Sizing!$B$19</f>
        <v>33.393756</v>
      </c>
      <c r="G22" s="5" t="n">
        <f aca="false">Sizing!$B$44*E22/100*Sizing!$B$32/1000+Sizing!$B$19</f>
        <v>45.885444</v>
      </c>
      <c r="H22" s="5" t="n">
        <f aca="false">IF(A22&lt;GridCodes!$D$15/100-0.0001,0,$B$4*IF(GridCodes!$E$15&lt;=GridCodes!$D$15,1,MIN(1,(A22-GridCodes!$D$15/100)/(GridCodes!$E$15/100-GridCodes!$D$15/100))))</f>
        <v>0</v>
      </c>
      <c r="I22" s="5" t="n">
        <f aca="false">IF(A22&lt;GridCodes!$D$15/100-0.0001,0,IF(GridCodes!$F$15=1,IF(A22&gt;=0.5,$B$4,$B$4*0.12/0.33+($B$4-$B$4*0.12/0.33)*(A22-GridCodes!$D$15/100)/(0.5-GridCodes!$D$15/100)),$B$4*IF(GridCodes!$E$15&lt;=GridCodes!$D$15,1,MIN(1,(A22-GridCodes!$D$15/100)/(GridCodes!$E$15/100-GridCodes!$D$15/100)))))</f>
        <v>0</v>
      </c>
      <c r="J22" s="15" t="str">
        <f aca="false">IF(AND(MAX(0,F22)&gt;=H22-0.001,MAX(0,G22)&gt;=I22-0.001),"PASS","FAIL")</f>
        <v>PASS</v>
      </c>
      <c r="K22" s="5" t="n">
        <f aca="false">-I22</f>
        <v>-0</v>
      </c>
      <c r="L22" s="5" t="n">
        <f aca="false">-G22</f>
        <v>-45.885444</v>
      </c>
    </row>
    <row r="23" customFormat="false" ht="15" hidden="false" customHeight="false" outlineLevel="0" collapsed="false">
      <c r="A23" s="17" t="n">
        <v>0.05</v>
      </c>
      <c r="B23" s="6" t="n">
        <f aca="false">A23*Sizing!$B$5</f>
        <v>2.64</v>
      </c>
      <c r="C23" s="6" t="n">
        <f aca="false">A23*Sizing!$B$29*1000/Sizing!$B$44</f>
        <v>14.9841758241758</v>
      </c>
      <c r="D23" s="8" t="n">
        <f aca="false">C23/Sizing!$B$32</f>
        <v>0.0412787212787213</v>
      </c>
      <c r="E23" s="6" t="n">
        <f aca="false">IF($D$23&gt;=1,IF(ISNUMBER(INDEX(InverterPQ!$B$7:$L$7,1,11)),INDEX(InverterPQ!$B$7:$L$7,1,11),0),IF(OR(NOT(ISNUMBER(INDEX(InverterPQ!$B$7:$L$7,1,MATCH($D$23,InverterPQ!$B$4:$L$4,1))))),0,IF($D$23=INDEX(InverterPQ!$B$4:$L$4,1,MATCH($D$23,InverterPQ!$B$4:$L$4,1)),INDEX(InverterPQ!$B$7:$L$7,1,MATCH($D$23,InverterPQ!$B$4:$L$4,1)),IF(NOT(ISNUMBER(INDEX(InverterPQ!$B$7:$L$7,1,MATCH($D$23,InverterPQ!$B$4:$L$4,1)+1))),0,INDEX(InverterPQ!$B$7:$L$7,1,MATCH($D$23,InverterPQ!$B$4:$L$4,1))+(INDEX(InverterPQ!$B$7:$L$7,1,MATCH($D$23,InverterPQ!$B$4:$L$4,1)+1)-INDEX(InverterPQ!$B$7:$L$7,1,MATCH($D$23,InverterPQ!$B$4:$L$4,1)))*($D$23-INDEX(InverterPQ!$B$4:$L$4,1,MATCH($D$23,InverterPQ!$B$4:$L$4,1)))/(INDEX(InverterPQ!$B$4:$L$4,1,MATCH($D$23,InverterPQ!$B$4:$L$4,1)+1)-INDEX(InverterPQ!$B$4:$L$4,1,MATCH($D$23,InverterPQ!$B$4:$L$4,1)))))))</f>
        <v>60</v>
      </c>
      <c r="F23" s="5" t="n">
        <f aca="false">Sizing!$B$44*E23/100*Sizing!$B$32/1000+Sizing!$B$39-Sizing!$B$19</f>
        <v>33.393756</v>
      </c>
      <c r="G23" s="5" t="n">
        <f aca="false">Sizing!$B$44*E23/100*Sizing!$B$32/1000+Sizing!$B$19</f>
        <v>45.885444</v>
      </c>
      <c r="H23" s="5" t="n">
        <f aca="false">IF(A23&lt;GridCodes!$D$15/100-0.0001,0,$B$4*IF(GridCodes!$E$15&lt;=GridCodes!$D$15,1,MIN(1,(A23-GridCodes!$D$15/100)/(GridCodes!$E$15/100-GridCodes!$D$15/100))))</f>
        <v>0</v>
      </c>
      <c r="I23" s="5" t="n">
        <f aca="false">IF(A23&lt;GridCodes!$D$15/100-0.0001,0,IF(GridCodes!$F$15=1,IF(A23&gt;=0.5,$B$4,$B$4*0.12/0.33+($B$4-$B$4*0.12/0.33)*(A23-GridCodes!$D$15/100)/(0.5-GridCodes!$D$15/100)),$B$4*IF(GridCodes!$E$15&lt;=GridCodes!$D$15,1,MIN(1,(A23-GridCodes!$D$15/100)/(GridCodes!$E$15/100-GridCodes!$D$15/100)))))</f>
        <v>0</v>
      </c>
      <c r="J23" s="15" t="str">
        <f aca="false">IF(AND(MAX(0,F23)&gt;=H23-0.001,MAX(0,G23)&gt;=I23-0.001),"PASS","FAIL")</f>
        <v>PASS</v>
      </c>
      <c r="K23" s="5" t="n">
        <f aca="false">-I23</f>
        <v>-0</v>
      </c>
      <c r="L23" s="5" t="n">
        <f aca="false">-G23</f>
        <v>-45.885444</v>
      </c>
    </row>
    <row r="24" customFormat="false" ht="15" hidden="false" customHeight="false" outlineLevel="0" collapsed="false">
      <c r="A24" s="17" t="n">
        <v>0.1</v>
      </c>
      <c r="B24" s="6" t="n">
        <f aca="false">A24*Sizing!$B$5</f>
        <v>5.28</v>
      </c>
      <c r="C24" s="6" t="n">
        <f aca="false">A24*Sizing!$B$29*1000/Sizing!$B$44</f>
        <v>29.9683516483517</v>
      </c>
      <c r="D24" s="8" t="n">
        <f aca="false">C24/Sizing!$B$32</f>
        <v>0.0825574425574426</v>
      </c>
      <c r="E24" s="6" t="n">
        <f aca="false">IF($D$24&gt;=1,IF(ISNUMBER(INDEX(InverterPQ!$B$7:$L$7,1,11)),INDEX(InverterPQ!$B$7:$L$7,1,11),0),IF(OR(NOT(ISNUMBER(INDEX(InverterPQ!$B$7:$L$7,1,MATCH($D$24,InverterPQ!$B$4:$L$4,1))))),0,IF($D$24=INDEX(InverterPQ!$B$4:$L$4,1,MATCH($D$24,InverterPQ!$B$4:$L$4,1)),INDEX(InverterPQ!$B$7:$L$7,1,MATCH($D$24,InverterPQ!$B$4:$L$4,1)),IF(NOT(ISNUMBER(INDEX(InverterPQ!$B$7:$L$7,1,MATCH($D$24,InverterPQ!$B$4:$L$4,1)+1))),0,INDEX(InverterPQ!$B$7:$L$7,1,MATCH($D$24,InverterPQ!$B$4:$L$4,1))+(INDEX(InverterPQ!$B$7:$L$7,1,MATCH($D$24,InverterPQ!$B$4:$L$4,1)+1)-INDEX(InverterPQ!$B$7:$L$7,1,MATCH($D$24,InverterPQ!$B$4:$L$4,1)))*($D$24-INDEX(InverterPQ!$B$4:$L$4,1,MATCH($D$24,InverterPQ!$B$4:$L$4,1)))/(INDEX(InverterPQ!$B$4:$L$4,1,MATCH($D$24,InverterPQ!$B$4:$L$4,1)+1)-INDEX(InverterPQ!$B$4:$L$4,1,MATCH($D$24,InverterPQ!$B$4:$L$4,1)))))))</f>
        <v>60</v>
      </c>
      <c r="F24" s="5" t="n">
        <f aca="false">Sizing!$B$44*E24/100*Sizing!$B$32/1000+Sizing!$B$39-Sizing!$B$19</f>
        <v>33.393756</v>
      </c>
      <c r="G24" s="5" t="n">
        <f aca="false">Sizing!$B$44*E24/100*Sizing!$B$32/1000+Sizing!$B$19</f>
        <v>45.885444</v>
      </c>
      <c r="H24" s="5" t="n">
        <f aca="false">IF(A24&lt;GridCodes!$D$15/100-0.0001,0,$B$4*IF(GridCodes!$E$15&lt;=GridCodes!$D$15,1,MIN(1,(A24-GridCodes!$D$15/100)/(GridCodes!$E$15/100-GridCodes!$D$15/100))))</f>
        <v>0</v>
      </c>
      <c r="I24" s="5" t="n">
        <f aca="false">IF(A24&lt;GridCodes!$D$15/100-0.0001,0,IF(GridCodes!$F$15=1,IF(A24&gt;=0.5,$B$4,$B$4*0.12/0.33+($B$4-$B$4*0.12/0.33)*(A24-GridCodes!$D$15/100)/(0.5-GridCodes!$D$15/100)),$B$4*IF(GridCodes!$E$15&lt;=GridCodes!$D$15,1,MIN(1,(A24-GridCodes!$D$15/100)/(GridCodes!$E$15/100-GridCodes!$D$15/100)))))</f>
        <v>0</v>
      </c>
      <c r="J24" s="15" t="str">
        <f aca="false">IF(AND(MAX(0,F24)&gt;=H24-0.001,MAX(0,G24)&gt;=I24-0.001),"PASS","FAIL")</f>
        <v>PASS</v>
      </c>
      <c r="K24" s="5" t="n">
        <f aca="false">-I24</f>
        <v>-0</v>
      </c>
      <c r="L24" s="5" t="n">
        <f aca="false">-G24</f>
        <v>-45.885444</v>
      </c>
    </row>
    <row r="25" customFormat="false" ht="15" hidden="false" customHeight="false" outlineLevel="0" collapsed="false">
      <c r="A25" s="17" t="n">
        <v>0.15</v>
      </c>
      <c r="B25" s="6" t="n">
        <f aca="false">A25*Sizing!$B$5</f>
        <v>7.92</v>
      </c>
      <c r="C25" s="6" t="n">
        <f aca="false">A25*Sizing!$B$29*1000/Sizing!$B$44</f>
        <v>44.9525274725275</v>
      </c>
      <c r="D25" s="8" t="n">
        <f aca="false">C25/Sizing!$B$32</f>
        <v>0.123836163836164</v>
      </c>
      <c r="E25" s="6" t="n">
        <f aca="false">IF($D$25&gt;=1,IF(ISNUMBER(INDEX(InverterPQ!$B$7:$L$7,1,11)),INDEX(InverterPQ!$B$7:$L$7,1,11),0),IF(OR(NOT(ISNUMBER(INDEX(InverterPQ!$B$7:$L$7,1,MATCH($D$25,InverterPQ!$B$4:$L$4,1))))),0,IF($D$25=INDEX(InverterPQ!$B$4:$L$4,1,MATCH($D$25,InverterPQ!$B$4:$L$4,1)),INDEX(InverterPQ!$B$7:$L$7,1,MATCH($D$25,InverterPQ!$B$4:$L$4,1)),IF(NOT(ISNUMBER(INDEX(InverterPQ!$B$7:$L$7,1,MATCH($D$25,InverterPQ!$B$4:$L$4,1)+1))),0,INDEX(InverterPQ!$B$7:$L$7,1,MATCH($D$25,InverterPQ!$B$4:$L$4,1))+(INDEX(InverterPQ!$B$7:$L$7,1,MATCH($D$25,InverterPQ!$B$4:$L$4,1)+1)-INDEX(InverterPQ!$B$7:$L$7,1,MATCH($D$25,InverterPQ!$B$4:$L$4,1)))*($D$25-INDEX(InverterPQ!$B$4:$L$4,1,MATCH($D$25,InverterPQ!$B$4:$L$4,1)))/(INDEX(InverterPQ!$B$4:$L$4,1,MATCH($D$25,InverterPQ!$B$4:$L$4,1)+1)-INDEX(InverterPQ!$B$4:$L$4,1,MATCH($D$25,InverterPQ!$B$4:$L$4,1)))))))</f>
        <v>60</v>
      </c>
      <c r="F25" s="5" t="n">
        <f aca="false">Sizing!$B$44*E25/100*Sizing!$B$32/1000+Sizing!$B$39-Sizing!$B$19</f>
        <v>33.393756</v>
      </c>
      <c r="G25" s="5" t="n">
        <f aca="false">Sizing!$B$44*E25/100*Sizing!$B$32/1000+Sizing!$B$19</f>
        <v>45.885444</v>
      </c>
      <c r="H25" s="5" t="n">
        <f aca="false">IF(A25&lt;GridCodes!$D$15/100-0.0001,0,$B$4*IF(GridCodes!$E$15&lt;=GridCodes!$D$15,1,MIN(1,(A25-GridCodes!$D$15/100)/(GridCodes!$E$15/100-GridCodes!$D$15/100))))</f>
        <v>0</v>
      </c>
      <c r="I25" s="5" t="n">
        <f aca="false">IF(A25&lt;GridCodes!$D$15/100-0.0001,0,IF(GridCodes!$F$15=1,IF(A25&gt;=0.5,$B$4,$B$4*0.12/0.33+($B$4-$B$4*0.12/0.33)*(A25-GridCodes!$D$15/100)/(0.5-GridCodes!$D$15/100)),$B$4*IF(GridCodes!$E$15&lt;=GridCodes!$D$15,1,MIN(1,(A25-GridCodes!$D$15/100)/(GridCodes!$E$15/100-GridCodes!$D$15/100)))))</f>
        <v>0</v>
      </c>
      <c r="J25" s="15" t="str">
        <f aca="false">IF(AND(MAX(0,F25)&gt;=H25-0.001,MAX(0,G25)&gt;=I25-0.001),"PASS","FAIL")</f>
        <v>PASS</v>
      </c>
      <c r="K25" s="5" t="n">
        <f aca="false">-I25</f>
        <v>-0</v>
      </c>
      <c r="L25" s="5" t="n">
        <f aca="false">-G25</f>
        <v>-45.885444</v>
      </c>
    </row>
    <row r="26" customFormat="false" ht="15" hidden="false" customHeight="false" outlineLevel="0" collapsed="false">
      <c r="A26" s="17" t="n">
        <v>0.2</v>
      </c>
      <c r="B26" s="6" t="n">
        <f aca="false">A26*Sizing!$B$5</f>
        <v>10.56</v>
      </c>
      <c r="C26" s="6" t="n">
        <f aca="false">A26*Sizing!$B$29*1000/Sizing!$B$44</f>
        <v>59.9367032967033</v>
      </c>
      <c r="D26" s="8" t="n">
        <f aca="false">C26/Sizing!$B$32</f>
        <v>0.165114885114885</v>
      </c>
      <c r="E26" s="6" t="n">
        <f aca="false">IF($D$26&gt;=1,IF(ISNUMBER(INDEX(InverterPQ!$B$7:$L$7,1,11)),INDEX(InverterPQ!$B$7:$L$7,1,11),0),IF(OR(NOT(ISNUMBER(INDEX(InverterPQ!$B$7:$L$7,1,MATCH($D$26,InverterPQ!$B$4:$L$4,1))))),0,IF($D$26=INDEX(InverterPQ!$B$4:$L$4,1,MATCH($D$26,InverterPQ!$B$4:$L$4,1)),INDEX(InverterPQ!$B$7:$L$7,1,MATCH($D$26,InverterPQ!$B$4:$L$4,1)),IF(NOT(ISNUMBER(INDEX(InverterPQ!$B$7:$L$7,1,MATCH($D$26,InverterPQ!$B$4:$L$4,1)+1))),0,INDEX(InverterPQ!$B$7:$L$7,1,MATCH($D$26,InverterPQ!$B$4:$L$4,1))+(INDEX(InverterPQ!$B$7:$L$7,1,MATCH($D$26,InverterPQ!$B$4:$L$4,1)+1)-INDEX(InverterPQ!$B$7:$L$7,1,MATCH($D$26,InverterPQ!$B$4:$L$4,1)))*($D$26-INDEX(InverterPQ!$B$4:$L$4,1,MATCH($D$26,InverterPQ!$B$4:$L$4,1)))/(INDEX(InverterPQ!$B$4:$L$4,1,MATCH($D$26,InverterPQ!$B$4:$L$4,1)+1)-INDEX(InverterPQ!$B$4:$L$4,1,MATCH($D$26,InverterPQ!$B$4:$L$4,1)))))))</f>
        <v>60</v>
      </c>
      <c r="F26" s="5" t="n">
        <f aca="false">Sizing!$B$44*E26/100*Sizing!$B$32/1000+Sizing!$B$39-Sizing!$B$19</f>
        <v>33.393756</v>
      </c>
      <c r="G26" s="5" t="n">
        <f aca="false">Sizing!$B$44*E26/100*Sizing!$B$32/1000+Sizing!$B$19</f>
        <v>45.885444</v>
      </c>
      <c r="H26" s="5" t="n">
        <f aca="false">IF(A26&lt;GridCodes!$D$15/100-0.0001,0,$B$4*IF(GridCodes!$E$15&lt;=GridCodes!$D$15,1,MIN(1,(A26-GridCodes!$D$15/100)/(GridCodes!$E$15/100-GridCodes!$D$15/100))))</f>
        <v>17.3712</v>
      </c>
      <c r="I26" s="5" t="n">
        <f aca="false">IF(A26&lt;GridCodes!$D$15/100-0.0001,0,IF(GridCodes!$F$15=1,IF(A26&gt;=0.5,$B$4,$B$4*0.12/0.33+($B$4-$B$4*0.12/0.33)*(A26-GridCodes!$D$15/100)/(0.5-GridCodes!$D$15/100)),$B$4*IF(GridCodes!$E$15&lt;=GridCodes!$D$15,1,MIN(1,(A26-GridCodes!$D$15/100)/(GridCodes!$E$15/100-GridCodes!$D$15/100)))))</f>
        <v>6.3168</v>
      </c>
      <c r="J26" s="15" t="str">
        <f aca="false">IF(AND(MAX(0,F26)&gt;=H26-0.001,MAX(0,G26)&gt;=I26-0.001),"PASS","FAIL")</f>
        <v>PASS</v>
      </c>
      <c r="K26" s="5" t="n">
        <f aca="false">-I26</f>
        <v>-6.3168</v>
      </c>
      <c r="L26" s="5" t="n">
        <f aca="false">-G26</f>
        <v>-45.885444</v>
      </c>
    </row>
    <row r="27" customFormat="false" ht="15" hidden="false" customHeight="false" outlineLevel="0" collapsed="false">
      <c r="A27" s="17" t="n">
        <v>0.25</v>
      </c>
      <c r="B27" s="6" t="n">
        <f aca="false">A27*Sizing!$B$5</f>
        <v>13.2</v>
      </c>
      <c r="C27" s="6" t="n">
        <f aca="false">A27*Sizing!$B$29*1000/Sizing!$B$44</f>
        <v>74.9208791208791</v>
      </c>
      <c r="D27" s="8" t="n">
        <f aca="false">C27/Sizing!$B$32</f>
        <v>0.206393606393606</v>
      </c>
      <c r="E27" s="6" t="n">
        <f aca="false">IF($D$27&gt;=1,IF(ISNUMBER(INDEX(InverterPQ!$B$7:$L$7,1,11)),INDEX(InverterPQ!$B$7:$L$7,1,11),0),IF(OR(NOT(ISNUMBER(INDEX(InverterPQ!$B$7:$L$7,1,MATCH($D$27,InverterPQ!$B$4:$L$4,1))))),0,IF($D$27=INDEX(InverterPQ!$B$4:$L$4,1,MATCH($D$27,InverterPQ!$B$4:$L$4,1)),INDEX(InverterPQ!$B$7:$L$7,1,MATCH($D$27,InverterPQ!$B$4:$L$4,1)),IF(NOT(ISNUMBER(INDEX(InverterPQ!$B$7:$L$7,1,MATCH($D$27,InverterPQ!$B$4:$L$4,1)+1))),0,INDEX(InverterPQ!$B$7:$L$7,1,MATCH($D$27,InverterPQ!$B$4:$L$4,1))+(INDEX(InverterPQ!$B$7:$L$7,1,MATCH($D$27,InverterPQ!$B$4:$L$4,1)+1)-INDEX(InverterPQ!$B$7:$L$7,1,MATCH($D$27,InverterPQ!$B$4:$L$4,1)))*($D$27-INDEX(InverterPQ!$B$4:$L$4,1,MATCH($D$27,InverterPQ!$B$4:$L$4,1)))/(INDEX(InverterPQ!$B$4:$L$4,1,MATCH($D$27,InverterPQ!$B$4:$L$4,1)+1)-INDEX(InverterPQ!$B$4:$L$4,1,MATCH($D$27,InverterPQ!$B$4:$L$4,1)))))))</f>
        <v>60</v>
      </c>
      <c r="F27" s="5" t="n">
        <f aca="false">Sizing!$B$44*E27/100*Sizing!$B$32/1000+Sizing!$B$39-Sizing!$B$19</f>
        <v>33.393756</v>
      </c>
      <c r="G27" s="5" t="n">
        <f aca="false">Sizing!$B$44*E27/100*Sizing!$B$32/1000+Sizing!$B$19</f>
        <v>45.885444</v>
      </c>
      <c r="H27" s="5" t="n">
        <f aca="false">IF(A27&lt;GridCodes!$D$15/100-0.0001,0,$B$4*IF(GridCodes!$E$15&lt;=GridCodes!$D$15,1,MIN(1,(A27-GridCodes!$D$15/100)/(GridCodes!$E$15/100-GridCodes!$D$15/100))))</f>
        <v>17.3712</v>
      </c>
      <c r="I27" s="5" t="n">
        <f aca="false">IF(A27&lt;GridCodes!$D$15/100-0.0001,0,IF(GridCodes!$F$15=1,IF(A27&gt;=0.5,$B$4,$B$4*0.12/0.33+($B$4-$B$4*0.12/0.33)*(A27-GridCodes!$D$15/100)/(0.5-GridCodes!$D$15/100)),$B$4*IF(GridCodes!$E$15&lt;=GridCodes!$D$15,1,MIN(1,(A27-GridCodes!$D$15/100)/(GridCodes!$E$15/100-GridCodes!$D$15/100)))))</f>
        <v>8.1592</v>
      </c>
      <c r="J27" s="15" t="str">
        <f aca="false">IF(AND(MAX(0,F27)&gt;=H27-0.001,MAX(0,G27)&gt;=I27-0.001),"PASS","FAIL")</f>
        <v>PASS</v>
      </c>
      <c r="K27" s="5" t="n">
        <f aca="false">-I27</f>
        <v>-8.1592</v>
      </c>
      <c r="L27" s="5" t="n">
        <f aca="false">-G27</f>
        <v>-45.885444</v>
      </c>
    </row>
    <row r="28" customFormat="false" ht="15" hidden="false" customHeight="false" outlineLevel="0" collapsed="false">
      <c r="A28" s="17" t="n">
        <v>0.3</v>
      </c>
      <c r="B28" s="6" t="n">
        <f aca="false">A28*Sizing!$B$5</f>
        <v>15.84</v>
      </c>
      <c r="C28" s="6" t="n">
        <f aca="false">A28*Sizing!$B$29*1000/Sizing!$B$44</f>
        <v>89.9050549450549</v>
      </c>
      <c r="D28" s="8" t="n">
        <f aca="false">C28/Sizing!$B$32</f>
        <v>0.247672327672328</v>
      </c>
      <c r="E28" s="6" t="n">
        <f aca="false">IF($D$28&gt;=1,IF(ISNUMBER(INDEX(InverterPQ!$B$7:$L$7,1,11)),INDEX(InverterPQ!$B$7:$L$7,1,11),0),IF(OR(NOT(ISNUMBER(INDEX(InverterPQ!$B$7:$L$7,1,MATCH($D$28,InverterPQ!$B$4:$L$4,1))))),0,IF($D$28=INDEX(InverterPQ!$B$4:$L$4,1,MATCH($D$28,InverterPQ!$B$4:$L$4,1)),INDEX(InverterPQ!$B$7:$L$7,1,MATCH($D$28,InverterPQ!$B$4:$L$4,1)),IF(NOT(ISNUMBER(INDEX(InverterPQ!$B$7:$L$7,1,MATCH($D$28,InverterPQ!$B$4:$L$4,1)+1))),0,INDEX(InverterPQ!$B$7:$L$7,1,MATCH($D$28,InverterPQ!$B$4:$L$4,1))+(INDEX(InverterPQ!$B$7:$L$7,1,MATCH($D$28,InverterPQ!$B$4:$L$4,1)+1)-INDEX(InverterPQ!$B$7:$L$7,1,MATCH($D$28,InverterPQ!$B$4:$L$4,1)))*($D$28-INDEX(InverterPQ!$B$4:$L$4,1,MATCH($D$28,InverterPQ!$B$4:$L$4,1)))/(INDEX(InverterPQ!$B$4:$L$4,1,MATCH($D$28,InverterPQ!$B$4:$L$4,1)+1)-INDEX(InverterPQ!$B$4:$L$4,1,MATCH($D$28,InverterPQ!$B$4:$L$4,1)))))))</f>
        <v>60</v>
      </c>
      <c r="F28" s="5" t="n">
        <f aca="false">Sizing!$B$44*E28/100*Sizing!$B$32/1000+Sizing!$B$39-Sizing!$B$19</f>
        <v>33.393756</v>
      </c>
      <c r="G28" s="5" t="n">
        <f aca="false">Sizing!$B$44*E28/100*Sizing!$B$32/1000+Sizing!$B$19</f>
        <v>45.885444</v>
      </c>
      <c r="H28" s="5" t="n">
        <f aca="false">IF(A28&lt;GridCodes!$D$15/100-0.0001,0,$B$4*IF(GridCodes!$E$15&lt;=GridCodes!$D$15,1,MIN(1,(A28-GridCodes!$D$15/100)/(GridCodes!$E$15/100-GridCodes!$D$15/100))))</f>
        <v>17.3712</v>
      </c>
      <c r="I28" s="5" t="n">
        <f aca="false">IF(A28&lt;GridCodes!$D$15/100-0.0001,0,IF(GridCodes!$F$15=1,IF(A28&gt;=0.5,$B$4,$B$4*0.12/0.33+($B$4-$B$4*0.12/0.33)*(A28-GridCodes!$D$15/100)/(0.5-GridCodes!$D$15/100)),$B$4*IF(GridCodes!$E$15&lt;=GridCodes!$D$15,1,MIN(1,(A28-GridCodes!$D$15/100)/(GridCodes!$E$15/100-GridCodes!$D$15/100)))))</f>
        <v>10.0016</v>
      </c>
      <c r="J28" s="15" t="str">
        <f aca="false">IF(AND(MAX(0,F28)&gt;=H28-0.001,MAX(0,G28)&gt;=I28-0.001),"PASS","FAIL")</f>
        <v>PASS</v>
      </c>
      <c r="K28" s="5" t="n">
        <f aca="false">-I28</f>
        <v>-10.0016</v>
      </c>
      <c r="L28" s="5" t="n">
        <f aca="false">-G28</f>
        <v>-45.885444</v>
      </c>
    </row>
    <row r="29" customFormat="false" ht="15" hidden="false" customHeight="false" outlineLevel="0" collapsed="false">
      <c r="A29" s="17" t="n">
        <v>0.35</v>
      </c>
      <c r="B29" s="6" t="n">
        <f aca="false">A29*Sizing!$B$5</f>
        <v>18.48</v>
      </c>
      <c r="C29" s="6" t="n">
        <f aca="false">A29*Sizing!$B$29*1000/Sizing!$B$44</f>
        <v>104.889230769231</v>
      </c>
      <c r="D29" s="8" t="n">
        <f aca="false">C29/Sizing!$B$32</f>
        <v>0.288951048951049</v>
      </c>
      <c r="E29" s="6" t="n">
        <f aca="false">IF($D$29&gt;=1,IF(ISNUMBER(INDEX(InverterPQ!$B$7:$L$7,1,11)),INDEX(InverterPQ!$B$7:$L$7,1,11),0),IF(OR(NOT(ISNUMBER(INDEX(InverterPQ!$B$7:$L$7,1,MATCH($D$29,InverterPQ!$B$4:$L$4,1))))),0,IF($D$29=INDEX(InverterPQ!$B$4:$L$4,1,MATCH($D$29,InverterPQ!$B$4:$L$4,1)),INDEX(InverterPQ!$B$7:$L$7,1,MATCH($D$29,InverterPQ!$B$4:$L$4,1)),IF(NOT(ISNUMBER(INDEX(InverterPQ!$B$7:$L$7,1,MATCH($D$29,InverterPQ!$B$4:$L$4,1)+1))),0,INDEX(InverterPQ!$B$7:$L$7,1,MATCH($D$29,InverterPQ!$B$4:$L$4,1))+(INDEX(InverterPQ!$B$7:$L$7,1,MATCH($D$29,InverterPQ!$B$4:$L$4,1)+1)-INDEX(InverterPQ!$B$7:$L$7,1,MATCH($D$29,InverterPQ!$B$4:$L$4,1)))*($D$29-INDEX(InverterPQ!$B$4:$L$4,1,MATCH($D$29,InverterPQ!$B$4:$L$4,1)))/(INDEX(InverterPQ!$B$4:$L$4,1,MATCH($D$29,InverterPQ!$B$4:$L$4,1)+1)-INDEX(InverterPQ!$B$4:$L$4,1,MATCH($D$29,InverterPQ!$B$4:$L$4,1)))))))</f>
        <v>60</v>
      </c>
      <c r="F29" s="5" t="n">
        <f aca="false">Sizing!$B$44*E29/100*Sizing!$B$32/1000+Sizing!$B$39-Sizing!$B$19</f>
        <v>33.393756</v>
      </c>
      <c r="G29" s="5" t="n">
        <f aca="false">Sizing!$B$44*E29/100*Sizing!$B$32/1000+Sizing!$B$19</f>
        <v>45.885444</v>
      </c>
      <c r="H29" s="5" t="n">
        <f aca="false">IF(A29&lt;GridCodes!$D$15/100-0.0001,0,$B$4*IF(GridCodes!$E$15&lt;=GridCodes!$D$15,1,MIN(1,(A29-GridCodes!$D$15/100)/(GridCodes!$E$15/100-GridCodes!$D$15/100))))</f>
        <v>17.3712</v>
      </c>
      <c r="I29" s="5" t="n">
        <f aca="false">IF(A29&lt;GridCodes!$D$15/100-0.0001,0,IF(GridCodes!$F$15=1,IF(A29&gt;=0.5,$B$4,$B$4*0.12/0.33+($B$4-$B$4*0.12/0.33)*(A29-GridCodes!$D$15/100)/(0.5-GridCodes!$D$15/100)),$B$4*IF(GridCodes!$E$15&lt;=GridCodes!$D$15,1,MIN(1,(A29-GridCodes!$D$15/100)/(GridCodes!$E$15/100-GridCodes!$D$15/100)))))</f>
        <v>11.844</v>
      </c>
      <c r="J29" s="15" t="str">
        <f aca="false">IF(AND(MAX(0,F29)&gt;=H29-0.001,MAX(0,G29)&gt;=I29-0.001),"PASS","FAIL")</f>
        <v>PASS</v>
      </c>
      <c r="K29" s="5" t="n">
        <f aca="false">-I29</f>
        <v>-11.844</v>
      </c>
      <c r="L29" s="5" t="n">
        <f aca="false">-G29</f>
        <v>-45.885444</v>
      </c>
    </row>
    <row r="30" customFormat="false" ht="15" hidden="false" customHeight="false" outlineLevel="0" collapsed="false">
      <c r="A30" s="17" t="n">
        <v>0.4</v>
      </c>
      <c r="B30" s="6" t="n">
        <f aca="false">A30*Sizing!$B$5</f>
        <v>21.12</v>
      </c>
      <c r="C30" s="6" t="n">
        <f aca="false">A30*Sizing!$B$29*1000/Sizing!$B$44</f>
        <v>119.873406593407</v>
      </c>
      <c r="D30" s="8" t="n">
        <f aca="false">C30/Sizing!$B$32</f>
        <v>0.33022977022977</v>
      </c>
      <c r="E30" s="6" t="n">
        <f aca="false">IF($D$30&gt;=1,IF(ISNUMBER(INDEX(InverterPQ!$B$7:$L$7,1,11)),INDEX(InverterPQ!$B$7:$L$7,1,11),0),IF(OR(NOT(ISNUMBER(INDEX(InverterPQ!$B$7:$L$7,1,MATCH($D$30,InverterPQ!$B$4:$L$4,1))))),0,IF($D$30=INDEX(InverterPQ!$B$4:$L$4,1,MATCH($D$30,InverterPQ!$B$4:$L$4,1)),INDEX(InverterPQ!$B$7:$L$7,1,MATCH($D$30,InverterPQ!$B$4:$L$4,1)),IF(NOT(ISNUMBER(INDEX(InverterPQ!$B$7:$L$7,1,MATCH($D$30,InverterPQ!$B$4:$L$4,1)+1))),0,INDEX(InverterPQ!$B$7:$L$7,1,MATCH($D$30,InverterPQ!$B$4:$L$4,1))+(INDEX(InverterPQ!$B$7:$L$7,1,MATCH($D$30,InverterPQ!$B$4:$L$4,1)+1)-INDEX(InverterPQ!$B$7:$L$7,1,MATCH($D$30,InverterPQ!$B$4:$L$4,1)))*($D$30-INDEX(InverterPQ!$B$4:$L$4,1,MATCH($D$30,InverterPQ!$B$4:$L$4,1)))/(INDEX(InverterPQ!$B$4:$L$4,1,MATCH($D$30,InverterPQ!$B$4:$L$4,1)+1)-INDEX(InverterPQ!$B$4:$L$4,1,MATCH($D$30,InverterPQ!$B$4:$L$4,1)))))))</f>
        <v>60</v>
      </c>
      <c r="F30" s="5" t="n">
        <f aca="false">Sizing!$B$44*E30/100*Sizing!$B$32/1000+Sizing!$B$39-Sizing!$B$19</f>
        <v>33.393756</v>
      </c>
      <c r="G30" s="5" t="n">
        <f aca="false">Sizing!$B$44*E30/100*Sizing!$B$32/1000+Sizing!$B$19</f>
        <v>45.885444</v>
      </c>
      <c r="H30" s="5" t="n">
        <f aca="false">IF(A30&lt;GridCodes!$D$15/100-0.0001,0,$B$4*IF(GridCodes!$E$15&lt;=GridCodes!$D$15,1,MIN(1,(A30-GridCodes!$D$15/100)/(GridCodes!$E$15/100-GridCodes!$D$15/100))))</f>
        <v>17.3712</v>
      </c>
      <c r="I30" s="5" t="n">
        <f aca="false">IF(A30&lt;GridCodes!$D$15/100-0.0001,0,IF(GridCodes!$F$15=1,IF(A30&gt;=0.5,$B$4,$B$4*0.12/0.33+($B$4-$B$4*0.12/0.33)*(A30-GridCodes!$D$15/100)/(0.5-GridCodes!$D$15/100)),$B$4*IF(GridCodes!$E$15&lt;=GridCodes!$D$15,1,MIN(1,(A30-GridCodes!$D$15/100)/(GridCodes!$E$15/100-GridCodes!$D$15/100)))))</f>
        <v>13.6864</v>
      </c>
      <c r="J30" s="15" t="str">
        <f aca="false">IF(AND(MAX(0,F30)&gt;=H30-0.001,MAX(0,G30)&gt;=I30-0.001),"PASS","FAIL")</f>
        <v>PASS</v>
      </c>
      <c r="K30" s="5" t="n">
        <f aca="false">-I30</f>
        <v>-13.6864</v>
      </c>
      <c r="L30" s="5" t="n">
        <f aca="false">-G30</f>
        <v>-45.885444</v>
      </c>
    </row>
    <row r="31" customFormat="false" ht="15" hidden="false" customHeight="false" outlineLevel="0" collapsed="false">
      <c r="A31" s="17" t="n">
        <v>0.45</v>
      </c>
      <c r="B31" s="6" t="n">
        <f aca="false">A31*Sizing!$B$5</f>
        <v>23.76</v>
      </c>
      <c r="C31" s="6" t="n">
        <f aca="false">A31*Sizing!$B$29*1000/Sizing!$B$44</f>
        <v>134.857582417582</v>
      </c>
      <c r="D31" s="8" t="n">
        <f aca="false">C31/Sizing!$B$32</f>
        <v>0.371508491508492</v>
      </c>
      <c r="E31" s="6" t="n">
        <f aca="false">IF($D$31&gt;=1,IF(ISNUMBER(INDEX(InverterPQ!$B$7:$L$7,1,11)),INDEX(InverterPQ!$B$7:$L$7,1,11),0),IF(OR(NOT(ISNUMBER(INDEX(InverterPQ!$B$7:$L$7,1,MATCH($D$31,InverterPQ!$B$4:$L$4,1))))),0,IF($D$31=INDEX(InverterPQ!$B$4:$L$4,1,MATCH($D$31,InverterPQ!$B$4:$L$4,1)),INDEX(InverterPQ!$B$7:$L$7,1,MATCH($D$31,InverterPQ!$B$4:$L$4,1)),IF(NOT(ISNUMBER(INDEX(InverterPQ!$B$7:$L$7,1,MATCH($D$31,InverterPQ!$B$4:$L$4,1)+1))),0,INDEX(InverterPQ!$B$7:$L$7,1,MATCH($D$31,InverterPQ!$B$4:$L$4,1))+(INDEX(InverterPQ!$B$7:$L$7,1,MATCH($D$31,InverterPQ!$B$4:$L$4,1)+1)-INDEX(InverterPQ!$B$7:$L$7,1,MATCH($D$31,InverterPQ!$B$4:$L$4,1)))*($D$31-INDEX(InverterPQ!$B$4:$L$4,1,MATCH($D$31,InverterPQ!$B$4:$L$4,1)))/(INDEX(InverterPQ!$B$4:$L$4,1,MATCH($D$31,InverterPQ!$B$4:$L$4,1)+1)-INDEX(InverterPQ!$B$4:$L$4,1,MATCH($D$31,InverterPQ!$B$4:$L$4,1)))))))</f>
        <v>60</v>
      </c>
      <c r="F31" s="5" t="n">
        <f aca="false">Sizing!$B$44*E31/100*Sizing!$B$32/1000+Sizing!$B$39-Sizing!$B$19</f>
        <v>33.393756</v>
      </c>
      <c r="G31" s="5" t="n">
        <f aca="false">Sizing!$B$44*E31/100*Sizing!$B$32/1000+Sizing!$B$19</f>
        <v>45.885444</v>
      </c>
      <c r="H31" s="5" t="n">
        <f aca="false">IF(A31&lt;GridCodes!$D$15/100-0.0001,0,$B$4*IF(GridCodes!$E$15&lt;=GridCodes!$D$15,1,MIN(1,(A31-GridCodes!$D$15/100)/(GridCodes!$E$15/100-GridCodes!$D$15/100))))</f>
        <v>17.3712</v>
      </c>
      <c r="I31" s="5" t="n">
        <f aca="false">IF(A31&lt;GridCodes!$D$15/100-0.0001,0,IF(GridCodes!$F$15=1,IF(A31&gt;=0.5,$B$4,$B$4*0.12/0.33+($B$4-$B$4*0.12/0.33)*(A31-GridCodes!$D$15/100)/(0.5-GridCodes!$D$15/100)),$B$4*IF(GridCodes!$E$15&lt;=GridCodes!$D$15,1,MIN(1,(A31-GridCodes!$D$15/100)/(GridCodes!$E$15/100-GridCodes!$D$15/100)))))</f>
        <v>15.5288</v>
      </c>
      <c r="J31" s="15" t="str">
        <f aca="false">IF(AND(MAX(0,F31)&gt;=H31-0.001,MAX(0,G31)&gt;=I31-0.001),"PASS","FAIL")</f>
        <v>PASS</v>
      </c>
      <c r="K31" s="5" t="n">
        <f aca="false">-I31</f>
        <v>-15.5288</v>
      </c>
      <c r="L31" s="5" t="n">
        <f aca="false">-G31</f>
        <v>-45.885444</v>
      </c>
    </row>
    <row r="32" customFormat="false" ht="15" hidden="false" customHeight="false" outlineLevel="0" collapsed="false">
      <c r="A32" s="17" t="n">
        <v>0.5</v>
      </c>
      <c r="B32" s="6" t="n">
        <f aca="false">A32*Sizing!$B$5</f>
        <v>26.4</v>
      </c>
      <c r="C32" s="6" t="n">
        <f aca="false">A32*Sizing!$B$29*1000/Sizing!$B$44</f>
        <v>149.841758241758</v>
      </c>
      <c r="D32" s="8" t="n">
        <f aca="false">C32/Sizing!$B$32</f>
        <v>0.412787212787213</v>
      </c>
      <c r="E32" s="6" t="n">
        <f aca="false">IF($D$32&gt;=1,IF(ISNUMBER(INDEX(InverterPQ!$B$7:$L$7,1,11)),INDEX(InverterPQ!$B$7:$L$7,1,11),0),IF(OR(NOT(ISNUMBER(INDEX(InverterPQ!$B$7:$L$7,1,MATCH($D$32,InverterPQ!$B$4:$L$4,1))))),0,IF($D$32=INDEX(InverterPQ!$B$4:$L$4,1,MATCH($D$32,InverterPQ!$B$4:$L$4,1)),INDEX(InverterPQ!$B$7:$L$7,1,MATCH($D$32,InverterPQ!$B$4:$L$4,1)),IF(NOT(ISNUMBER(INDEX(InverterPQ!$B$7:$L$7,1,MATCH($D$32,InverterPQ!$B$4:$L$4,1)+1))),0,INDEX(InverterPQ!$B$7:$L$7,1,MATCH($D$32,InverterPQ!$B$4:$L$4,1))+(INDEX(InverterPQ!$B$7:$L$7,1,MATCH($D$32,InverterPQ!$B$4:$L$4,1)+1)-INDEX(InverterPQ!$B$7:$L$7,1,MATCH($D$32,InverterPQ!$B$4:$L$4,1)))*($D$32-INDEX(InverterPQ!$B$4:$L$4,1,MATCH($D$32,InverterPQ!$B$4:$L$4,1)))/(INDEX(InverterPQ!$B$4:$L$4,1,MATCH($D$32,InverterPQ!$B$4:$L$4,1)+1)-INDEX(InverterPQ!$B$4:$L$4,1,MATCH($D$32,InverterPQ!$B$4:$L$4,1)))))))</f>
        <v>60</v>
      </c>
      <c r="F32" s="5" t="n">
        <f aca="false">Sizing!$B$44*E32/100*Sizing!$B$32/1000+Sizing!$B$39-Sizing!$B$19</f>
        <v>33.393756</v>
      </c>
      <c r="G32" s="5" t="n">
        <f aca="false">Sizing!$B$44*E32/100*Sizing!$B$32/1000+Sizing!$B$19</f>
        <v>45.885444</v>
      </c>
      <c r="H32" s="5" t="n">
        <f aca="false">IF(A32&lt;GridCodes!$D$15/100-0.0001,0,$B$4*IF(GridCodes!$E$15&lt;=GridCodes!$D$15,1,MIN(1,(A32-GridCodes!$D$15/100)/(GridCodes!$E$15/100-GridCodes!$D$15/100))))</f>
        <v>17.3712</v>
      </c>
      <c r="I32" s="5" t="n">
        <f aca="false">IF(A32&lt;GridCodes!$D$15/100-0.0001,0,IF(GridCodes!$F$15=1,IF(A32&gt;=0.5,$B$4,$B$4*0.12/0.33+($B$4-$B$4*0.12/0.33)*(A32-GridCodes!$D$15/100)/(0.5-GridCodes!$D$15/100)),$B$4*IF(GridCodes!$E$15&lt;=GridCodes!$D$15,1,MIN(1,(A32-GridCodes!$D$15/100)/(GridCodes!$E$15/100-GridCodes!$D$15/100)))))</f>
        <v>17.3712</v>
      </c>
      <c r="J32" s="15" t="str">
        <f aca="false">IF(AND(MAX(0,F32)&gt;=H32-0.001,MAX(0,G32)&gt;=I32-0.001),"PASS","FAIL")</f>
        <v>PASS</v>
      </c>
      <c r="K32" s="5" t="n">
        <f aca="false">-I32</f>
        <v>-17.3712</v>
      </c>
      <c r="L32" s="5" t="n">
        <f aca="false">-G32</f>
        <v>-45.885444</v>
      </c>
    </row>
    <row r="33" customFormat="false" ht="15" hidden="false" customHeight="false" outlineLevel="0" collapsed="false">
      <c r="A33" s="17" t="n">
        <v>0.55</v>
      </c>
      <c r="B33" s="6" t="n">
        <f aca="false">A33*Sizing!$B$5</f>
        <v>29.04</v>
      </c>
      <c r="C33" s="6" t="n">
        <f aca="false">A33*Sizing!$B$29*1000/Sizing!$B$44</f>
        <v>164.825934065934</v>
      </c>
      <c r="D33" s="8" t="n">
        <f aca="false">C33/Sizing!$B$32</f>
        <v>0.454065934065934</v>
      </c>
      <c r="E33" s="6" t="n">
        <f aca="false">IF($D$33&gt;=1,IF(ISNUMBER(INDEX(InverterPQ!$B$7:$L$7,1,11)),INDEX(InverterPQ!$B$7:$L$7,1,11),0),IF(OR(NOT(ISNUMBER(INDEX(InverterPQ!$B$7:$L$7,1,MATCH($D$33,InverterPQ!$B$4:$L$4,1))))),0,IF($D$33=INDEX(InverterPQ!$B$4:$L$4,1,MATCH($D$33,InverterPQ!$B$4:$L$4,1)),INDEX(InverterPQ!$B$7:$L$7,1,MATCH($D$33,InverterPQ!$B$4:$L$4,1)),IF(NOT(ISNUMBER(INDEX(InverterPQ!$B$7:$L$7,1,MATCH($D$33,InverterPQ!$B$4:$L$4,1)+1))),0,INDEX(InverterPQ!$B$7:$L$7,1,MATCH($D$33,InverterPQ!$B$4:$L$4,1))+(INDEX(InverterPQ!$B$7:$L$7,1,MATCH($D$33,InverterPQ!$B$4:$L$4,1)+1)-INDEX(InverterPQ!$B$7:$L$7,1,MATCH($D$33,InverterPQ!$B$4:$L$4,1)))*($D$33-INDEX(InverterPQ!$B$4:$L$4,1,MATCH($D$33,InverterPQ!$B$4:$L$4,1)))/(INDEX(InverterPQ!$B$4:$L$4,1,MATCH($D$33,InverterPQ!$B$4:$L$4,1)+1)-INDEX(InverterPQ!$B$4:$L$4,1,MATCH($D$33,InverterPQ!$B$4:$L$4,1)))))))</f>
        <v>60</v>
      </c>
      <c r="F33" s="5" t="n">
        <f aca="false">Sizing!$B$44*E33/100*Sizing!$B$32/1000+Sizing!$B$39-Sizing!$B$19</f>
        <v>33.393756</v>
      </c>
      <c r="G33" s="5" t="n">
        <f aca="false">Sizing!$B$44*E33/100*Sizing!$B$32/1000+Sizing!$B$19</f>
        <v>45.885444</v>
      </c>
      <c r="H33" s="5" t="n">
        <f aca="false">IF(A33&lt;GridCodes!$D$15/100-0.0001,0,$B$4*IF(GridCodes!$E$15&lt;=GridCodes!$D$15,1,MIN(1,(A33-GridCodes!$D$15/100)/(GridCodes!$E$15/100-GridCodes!$D$15/100))))</f>
        <v>17.3712</v>
      </c>
      <c r="I33" s="5" t="n">
        <f aca="false">IF(A33&lt;GridCodes!$D$15/100-0.0001,0,IF(GridCodes!$F$15=1,IF(A33&gt;=0.5,$B$4,$B$4*0.12/0.33+($B$4-$B$4*0.12/0.33)*(A33-GridCodes!$D$15/100)/(0.5-GridCodes!$D$15/100)),$B$4*IF(GridCodes!$E$15&lt;=GridCodes!$D$15,1,MIN(1,(A33-GridCodes!$D$15/100)/(GridCodes!$E$15/100-GridCodes!$D$15/100)))))</f>
        <v>17.3712</v>
      </c>
      <c r="J33" s="15" t="str">
        <f aca="false">IF(AND(MAX(0,F33)&gt;=H33-0.001,MAX(0,G33)&gt;=I33-0.001),"PASS","FAIL")</f>
        <v>PASS</v>
      </c>
      <c r="K33" s="5" t="n">
        <f aca="false">-I33</f>
        <v>-17.3712</v>
      </c>
      <c r="L33" s="5" t="n">
        <f aca="false">-G33</f>
        <v>-45.885444</v>
      </c>
    </row>
    <row r="34" customFormat="false" ht="15" hidden="false" customHeight="false" outlineLevel="0" collapsed="false">
      <c r="A34" s="17" t="n">
        <v>0.6</v>
      </c>
      <c r="B34" s="6" t="n">
        <f aca="false">A34*Sizing!$B$5</f>
        <v>31.68</v>
      </c>
      <c r="C34" s="6" t="n">
        <f aca="false">A34*Sizing!$B$29*1000/Sizing!$B$44</f>
        <v>179.81010989011</v>
      </c>
      <c r="D34" s="8" t="n">
        <f aca="false">C34/Sizing!$B$32</f>
        <v>0.495344655344655</v>
      </c>
      <c r="E34" s="6" t="n">
        <f aca="false">IF($D$34&gt;=1,IF(ISNUMBER(INDEX(InverterPQ!$B$7:$L$7,1,11)),INDEX(InverterPQ!$B$7:$L$7,1,11),0),IF(OR(NOT(ISNUMBER(INDEX(InverterPQ!$B$7:$L$7,1,MATCH($D$34,InverterPQ!$B$4:$L$4,1))))),0,IF($D$34=INDEX(InverterPQ!$B$4:$L$4,1,MATCH($D$34,InverterPQ!$B$4:$L$4,1)),INDEX(InverterPQ!$B$7:$L$7,1,MATCH($D$34,InverterPQ!$B$4:$L$4,1)),IF(NOT(ISNUMBER(INDEX(InverterPQ!$B$7:$L$7,1,MATCH($D$34,InverterPQ!$B$4:$L$4,1)+1))),0,INDEX(InverterPQ!$B$7:$L$7,1,MATCH($D$34,InverterPQ!$B$4:$L$4,1))+(INDEX(InverterPQ!$B$7:$L$7,1,MATCH($D$34,InverterPQ!$B$4:$L$4,1)+1)-INDEX(InverterPQ!$B$7:$L$7,1,MATCH($D$34,InverterPQ!$B$4:$L$4,1)))*($D$34-INDEX(InverterPQ!$B$4:$L$4,1,MATCH($D$34,InverterPQ!$B$4:$L$4,1)))/(INDEX(InverterPQ!$B$4:$L$4,1,MATCH($D$34,InverterPQ!$B$4:$L$4,1)+1)-INDEX(InverterPQ!$B$4:$L$4,1,MATCH($D$34,InverterPQ!$B$4:$L$4,1)))))))</f>
        <v>60</v>
      </c>
      <c r="F34" s="5" t="n">
        <f aca="false">Sizing!$B$44*E34/100*Sizing!$B$32/1000+Sizing!$B$39-Sizing!$B$19</f>
        <v>33.393756</v>
      </c>
      <c r="G34" s="5" t="n">
        <f aca="false">Sizing!$B$44*E34/100*Sizing!$B$32/1000+Sizing!$B$19</f>
        <v>45.885444</v>
      </c>
      <c r="H34" s="5" t="n">
        <f aca="false">IF(A34&lt;GridCodes!$D$15/100-0.0001,0,$B$4*IF(GridCodes!$E$15&lt;=GridCodes!$D$15,1,MIN(1,(A34-GridCodes!$D$15/100)/(GridCodes!$E$15/100-GridCodes!$D$15/100))))</f>
        <v>17.3712</v>
      </c>
      <c r="I34" s="5" t="n">
        <f aca="false">IF(A34&lt;GridCodes!$D$15/100-0.0001,0,IF(GridCodes!$F$15=1,IF(A34&gt;=0.5,$B$4,$B$4*0.12/0.33+($B$4-$B$4*0.12/0.33)*(A34-GridCodes!$D$15/100)/(0.5-GridCodes!$D$15/100)),$B$4*IF(GridCodes!$E$15&lt;=GridCodes!$D$15,1,MIN(1,(A34-GridCodes!$D$15/100)/(GridCodes!$E$15/100-GridCodes!$D$15/100)))))</f>
        <v>17.3712</v>
      </c>
      <c r="J34" s="15" t="str">
        <f aca="false">IF(AND(MAX(0,F34)&gt;=H34-0.001,MAX(0,G34)&gt;=I34-0.001),"PASS","FAIL")</f>
        <v>PASS</v>
      </c>
      <c r="K34" s="5" t="n">
        <f aca="false">-I34</f>
        <v>-17.3712</v>
      </c>
      <c r="L34" s="5" t="n">
        <f aca="false">-G34</f>
        <v>-45.885444</v>
      </c>
    </row>
    <row r="35" customFormat="false" ht="15" hidden="false" customHeight="false" outlineLevel="0" collapsed="false">
      <c r="A35" s="17" t="n">
        <v>0.65</v>
      </c>
      <c r="B35" s="6" t="n">
        <f aca="false">A35*Sizing!$B$5</f>
        <v>34.32</v>
      </c>
      <c r="C35" s="6" t="n">
        <f aca="false">A35*Sizing!$B$29*1000/Sizing!$B$44</f>
        <v>194.794285714286</v>
      </c>
      <c r="D35" s="8" t="n">
        <f aca="false">C35/Sizing!$B$32</f>
        <v>0.536623376623377</v>
      </c>
      <c r="E35" s="6" t="n">
        <f aca="false">IF($D$35&gt;=1,IF(ISNUMBER(INDEX(InverterPQ!$B$7:$L$7,1,11)),INDEX(InverterPQ!$B$7:$L$7,1,11),0),IF(OR(NOT(ISNUMBER(INDEX(InverterPQ!$B$7:$L$7,1,MATCH($D$35,InverterPQ!$B$4:$L$4,1))))),0,IF($D$35=INDEX(InverterPQ!$B$4:$L$4,1,MATCH($D$35,InverterPQ!$B$4:$L$4,1)),INDEX(InverterPQ!$B$7:$L$7,1,MATCH($D$35,InverterPQ!$B$4:$L$4,1)),IF(NOT(ISNUMBER(INDEX(InverterPQ!$B$7:$L$7,1,MATCH($D$35,InverterPQ!$B$4:$L$4,1)+1))),0,INDEX(InverterPQ!$B$7:$L$7,1,MATCH($D$35,InverterPQ!$B$4:$L$4,1))+(INDEX(InverterPQ!$B$7:$L$7,1,MATCH($D$35,InverterPQ!$B$4:$L$4,1)+1)-INDEX(InverterPQ!$B$7:$L$7,1,MATCH($D$35,InverterPQ!$B$4:$L$4,1)))*($D$35-INDEX(InverterPQ!$B$4:$L$4,1,MATCH($D$35,InverterPQ!$B$4:$L$4,1)))/(INDEX(InverterPQ!$B$4:$L$4,1,MATCH($D$35,InverterPQ!$B$4:$L$4,1)+1)-INDEX(InverterPQ!$B$4:$L$4,1,MATCH($D$35,InverterPQ!$B$4:$L$4,1)))))))</f>
        <v>60</v>
      </c>
      <c r="F35" s="5" t="n">
        <f aca="false">Sizing!$B$44*E35/100*Sizing!$B$32/1000+Sizing!$B$39-Sizing!$B$19</f>
        <v>33.393756</v>
      </c>
      <c r="G35" s="5" t="n">
        <f aca="false">Sizing!$B$44*E35/100*Sizing!$B$32/1000+Sizing!$B$19</f>
        <v>45.885444</v>
      </c>
      <c r="H35" s="5" t="n">
        <f aca="false">IF(A35&lt;GridCodes!$D$15/100-0.0001,0,$B$4*IF(GridCodes!$E$15&lt;=GridCodes!$D$15,1,MIN(1,(A35-GridCodes!$D$15/100)/(GridCodes!$E$15/100-GridCodes!$D$15/100))))</f>
        <v>17.3712</v>
      </c>
      <c r="I35" s="5" t="n">
        <f aca="false">IF(A35&lt;GridCodes!$D$15/100-0.0001,0,IF(GridCodes!$F$15=1,IF(A35&gt;=0.5,$B$4,$B$4*0.12/0.33+($B$4-$B$4*0.12/0.33)*(A35-GridCodes!$D$15/100)/(0.5-GridCodes!$D$15/100)),$B$4*IF(GridCodes!$E$15&lt;=GridCodes!$D$15,1,MIN(1,(A35-GridCodes!$D$15/100)/(GridCodes!$E$15/100-GridCodes!$D$15/100)))))</f>
        <v>17.3712</v>
      </c>
      <c r="J35" s="15" t="str">
        <f aca="false">IF(AND(MAX(0,F35)&gt;=H35-0.001,MAX(0,G35)&gt;=I35-0.001),"PASS","FAIL")</f>
        <v>PASS</v>
      </c>
      <c r="K35" s="5" t="n">
        <f aca="false">-I35</f>
        <v>-17.3712</v>
      </c>
      <c r="L35" s="5" t="n">
        <f aca="false">-G35</f>
        <v>-45.885444</v>
      </c>
    </row>
    <row r="36" customFormat="false" ht="15" hidden="false" customHeight="false" outlineLevel="0" collapsed="false">
      <c r="A36" s="17" t="n">
        <v>0.7</v>
      </c>
      <c r="B36" s="6" t="n">
        <f aca="false">A36*Sizing!$B$5</f>
        <v>36.96</v>
      </c>
      <c r="C36" s="6" t="n">
        <f aca="false">A36*Sizing!$B$29*1000/Sizing!$B$44</f>
        <v>209.778461538462</v>
      </c>
      <c r="D36" s="8" t="n">
        <f aca="false">C36/Sizing!$B$32</f>
        <v>0.577902097902098</v>
      </c>
      <c r="E36" s="6" t="n">
        <f aca="false">IF($D$36&gt;=1,IF(ISNUMBER(INDEX(InverterPQ!$B$7:$L$7,1,11)),INDEX(InverterPQ!$B$7:$L$7,1,11),0),IF(OR(NOT(ISNUMBER(INDEX(InverterPQ!$B$7:$L$7,1,MATCH($D$36,InverterPQ!$B$4:$L$4,1))))),0,IF($D$36=INDEX(InverterPQ!$B$4:$L$4,1,MATCH($D$36,InverterPQ!$B$4:$L$4,1)),INDEX(InverterPQ!$B$7:$L$7,1,MATCH($D$36,InverterPQ!$B$4:$L$4,1)),IF(NOT(ISNUMBER(INDEX(InverterPQ!$B$7:$L$7,1,MATCH($D$36,InverterPQ!$B$4:$L$4,1)+1))),0,INDEX(InverterPQ!$B$7:$L$7,1,MATCH($D$36,InverterPQ!$B$4:$L$4,1))+(INDEX(InverterPQ!$B$7:$L$7,1,MATCH($D$36,InverterPQ!$B$4:$L$4,1)+1)-INDEX(InverterPQ!$B$7:$L$7,1,MATCH($D$36,InverterPQ!$B$4:$L$4,1)))*($D$36-INDEX(InverterPQ!$B$4:$L$4,1,MATCH($D$36,InverterPQ!$B$4:$L$4,1)))/(INDEX(InverterPQ!$B$4:$L$4,1,MATCH($D$36,InverterPQ!$B$4:$L$4,1)+1)-INDEX(InverterPQ!$B$4:$L$4,1,MATCH($D$36,InverterPQ!$B$4:$L$4,1)))))))</f>
        <v>60</v>
      </c>
      <c r="F36" s="5" t="n">
        <f aca="false">Sizing!$B$44*E36/100*Sizing!$B$32/1000+Sizing!$B$39-Sizing!$B$19</f>
        <v>33.393756</v>
      </c>
      <c r="G36" s="5" t="n">
        <f aca="false">Sizing!$B$44*E36/100*Sizing!$B$32/1000+Sizing!$B$19</f>
        <v>45.885444</v>
      </c>
      <c r="H36" s="5" t="n">
        <f aca="false">IF(A36&lt;GridCodes!$D$15/100-0.0001,0,$B$4*IF(GridCodes!$E$15&lt;=GridCodes!$D$15,1,MIN(1,(A36-GridCodes!$D$15/100)/(GridCodes!$E$15/100-GridCodes!$D$15/100))))</f>
        <v>17.3712</v>
      </c>
      <c r="I36" s="5" t="n">
        <f aca="false">IF(A36&lt;GridCodes!$D$15/100-0.0001,0,IF(GridCodes!$F$15=1,IF(A36&gt;=0.5,$B$4,$B$4*0.12/0.33+($B$4-$B$4*0.12/0.33)*(A36-GridCodes!$D$15/100)/(0.5-GridCodes!$D$15/100)),$B$4*IF(GridCodes!$E$15&lt;=GridCodes!$D$15,1,MIN(1,(A36-GridCodes!$D$15/100)/(GridCodes!$E$15/100-GridCodes!$D$15/100)))))</f>
        <v>17.3712</v>
      </c>
      <c r="J36" s="15" t="str">
        <f aca="false">IF(AND(MAX(0,F36)&gt;=H36-0.001,MAX(0,G36)&gt;=I36-0.001),"PASS","FAIL")</f>
        <v>PASS</v>
      </c>
      <c r="K36" s="5" t="n">
        <f aca="false">-I36</f>
        <v>-17.3712</v>
      </c>
      <c r="L36" s="5" t="n">
        <f aca="false">-G36</f>
        <v>-45.885444</v>
      </c>
    </row>
    <row r="37" customFormat="false" ht="15" hidden="false" customHeight="false" outlineLevel="0" collapsed="false">
      <c r="A37" s="17" t="n">
        <v>0.75</v>
      </c>
      <c r="B37" s="6" t="n">
        <f aca="false">A37*Sizing!$B$5</f>
        <v>39.6</v>
      </c>
      <c r="C37" s="6" t="n">
        <f aca="false">A37*Sizing!$B$29*1000/Sizing!$B$44</f>
        <v>224.762637362637</v>
      </c>
      <c r="D37" s="8" t="n">
        <f aca="false">C37/Sizing!$B$32</f>
        <v>0.619180819180819</v>
      </c>
      <c r="E37" s="6" t="n">
        <f aca="false">IF($D$37&gt;=1,IF(ISNUMBER(INDEX(InverterPQ!$B$7:$L$7,1,11)),INDEX(InverterPQ!$B$7:$L$7,1,11),0),IF(OR(NOT(ISNUMBER(INDEX(InverterPQ!$B$7:$L$7,1,MATCH($D$37,InverterPQ!$B$4:$L$4,1))))),0,IF($D$37=INDEX(InverterPQ!$B$4:$L$4,1,MATCH($D$37,InverterPQ!$B$4:$L$4,1)),INDEX(InverterPQ!$B$7:$L$7,1,MATCH($D$37,InverterPQ!$B$4:$L$4,1)),IF(NOT(ISNUMBER(INDEX(InverterPQ!$B$7:$L$7,1,MATCH($D$37,InverterPQ!$B$4:$L$4,1)+1))),0,INDEX(InverterPQ!$B$7:$L$7,1,MATCH($D$37,InverterPQ!$B$4:$L$4,1))+(INDEX(InverterPQ!$B$7:$L$7,1,MATCH($D$37,InverterPQ!$B$4:$L$4,1)+1)-INDEX(InverterPQ!$B$7:$L$7,1,MATCH($D$37,InverterPQ!$B$4:$L$4,1)))*($D$37-INDEX(InverterPQ!$B$4:$L$4,1,MATCH($D$37,InverterPQ!$B$4:$L$4,1)))/(INDEX(InverterPQ!$B$4:$L$4,1,MATCH($D$37,InverterPQ!$B$4:$L$4,1)+1)-INDEX(InverterPQ!$B$4:$L$4,1,MATCH($D$37,InverterPQ!$B$4:$L$4,1)))))))</f>
        <v>60</v>
      </c>
      <c r="F37" s="5" t="n">
        <f aca="false">Sizing!$B$44*E37/100*Sizing!$B$32/1000+Sizing!$B$39-Sizing!$B$19</f>
        <v>33.393756</v>
      </c>
      <c r="G37" s="5" t="n">
        <f aca="false">Sizing!$B$44*E37/100*Sizing!$B$32/1000+Sizing!$B$19</f>
        <v>45.885444</v>
      </c>
      <c r="H37" s="5" t="n">
        <f aca="false">IF(A37&lt;GridCodes!$D$15/100-0.0001,0,$B$4*IF(GridCodes!$E$15&lt;=GridCodes!$D$15,1,MIN(1,(A37-GridCodes!$D$15/100)/(GridCodes!$E$15/100-GridCodes!$D$15/100))))</f>
        <v>17.3712</v>
      </c>
      <c r="I37" s="5" t="n">
        <f aca="false">IF(A37&lt;GridCodes!$D$15/100-0.0001,0,IF(GridCodes!$F$15=1,IF(A37&gt;=0.5,$B$4,$B$4*0.12/0.33+($B$4-$B$4*0.12/0.33)*(A37-GridCodes!$D$15/100)/(0.5-GridCodes!$D$15/100)),$B$4*IF(GridCodes!$E$15&lt;=GridCodes!$D$15,1,MIN(1,(A37-GridCodes!$D$15/100)/(GridCodes!$E$15/100-GridCodes!$D$15/100)))))</f>
        <v>17.3712</v>
      </c>
      <c r="J37" s="15" t="str">
        <f aca="false">IF(AND(MAX(0,F37)&gt;=H37-0.001,MAX(0,G37)&gt;=I37-0.001),"PASS","FAIL")</f>
        <v>PASS</v>
      </c>
      <c r="K37" s="5" t="n">
        <f aca="false">-I37</f>
        <v>-17.3712</v>
      </c>
      <c r="L37" s="5" t="n">
        <f aca="false">-G37</f>
        <v>-45.885444</v>
      </c>
    </row>
    <row r="38" customFormat="false" ht="15" hidden="false" customHeight="false" outlineLevel="0" collapsed="false">
      <c r="A38" s="17" t="n">
        <v>0.8</v>
      </c>
      <c r="B38" s="6" t="n">
        <f aca="false">A38*Sizing!$B$5</f>
        <v>42.24</v>
      </c>
      <c r="C38" s="6" t="n">
        <f aca="false">A38*Sizing!$B$29*1000/Sizing!$B$44</f>
        <v>239.746813186813</v>
      </c>
      <c r="D38" s="8" t="n">
        <f aca="false">C38/Sizing!$B$32</f>
        <v>0.660459540459541</v>
      </c>
      <c r="E38" s="6" t="n">
        <f aca="false">IF($D$38&gt;=1,IF(ISNUMBER(INDEX(InverterPQ!$B$7:$L$7,1,11)),INDEX(InverterPQ!$B$7:$L$7,1,11),0),IF(OR(NOT(ISNUMBER(INDEX(InverterPQ!$B$7:$L$7,1,MATCH($D$38,InverterPQ!$B$4:$L$4,1))))),0,IF($D$38=INDEX(InverterPQ!$B$4:$L$4,1,MATCH($D$38,InverterPQ!$B$4:$L$4,1)),INDEX(InverterPQ!$B$7:$L$7,1,MATCH($D$38,InverterPQ!$B$4:$L$4,1)),IF(NOT(ISNUMBER(INDEX(InverterPQ!$B$7:$L$7,1,MATCH($D$38,InverterPQ!$B$4:$L$4,1)+1))),0,INDEX(InverterPQ!$B$7:$L$7,1,MATCH($D$38,InverterPQ!$B$4:$L$4,1))+(INDEX(InverterPQ!$B$7:$L$7,1,MATCH($D$38,InverterPQ!$B$4:$L$4,1)+1)-INDEX(InverterPQ!$B$7:$L$7,1,MATCH($D$38,InverterPQ!$B$4:$L$4,1)))*($D$38-INDEX(InverterPQ!$B$4:$L$4,1,MATCH($D$38,InverterPQ!$B$4:$L$4,1)))/(INDEX(InverterPQ!$B$4:$L$4,1,MATCH($D$38,InverterPQ!$B$4:$L$4,1)+1)-INDEX(InverterPQ!$B$4:$L$4,1,MATCH($D$38,InverterPQ!$B$4:$L$4,1)))))))</f>
        <v>60</v>
      </c>
      <c r="F38" s="5" t="n">
        <f aca="false">Sizing!$B$44*E38/100*Sizing!$B$32/1000+Sizing!$B$39-Sizing!$B$19</f>
        <v>33.393756</v>
      </c>
      <c r="G38" s="5" t="n">
        <f aca="false">Sizing!$B$44*E38/100*Sizing!$B$32/1000+Sizing!$B$19</f>
        <v>45.885444</v>
      </c>
      <c r="H38" s="5" t="n">
        <f aca="false">IF(A38&lt;GridCodes!$D$15/100-0.0001,0,$B$4*IF(GridCodes!$E$15&lt;=GridCodes!$D$15,1,MIN(1,(A38-GridCodes!$D$15/100)/(GridCodes!$E$15/100-GridCodes!$D$15/100))))</f>
        <v>17.3712</v>
      </c>
      <c r="I38" s="5" t="n">
        <f aca="false">IF(A38&lt;GridCodes!$D$15/100-0.0001,0,IF(GridCodes!$F$15=1,IF(A38&gt;=0.5,$B$4,$B$4*0.12/0.33+($B$4-$B$4*0.12/0.33)*(A38-GridCodes!$D$15/100)/(0.5-GridCodes!$D$15/100)),$B$4*IF(GridCodes!$E$15&lt;=GridCodes!$D$15,1,MIN(1,(A38-GridCodes!$D$15/100)/(GridCodes!$E$15/100-GridCodes!$D$15/100)))))</f>
        <v>17.3712</v>
      </c>
      <c r="J38" s="15" t="str">
        <f aca="false">IF(AND(MAX(0,F38)&gt;=H38-0.001,MAX(0,G38)&gt;=I38-0.001),"PASS","FAIL")</f>
        <v>PASS</v>
      </c>
      <c r="K38" s="5" t="n">
        <f aca="false">-I38</f>
        <v>-17.3712</v>
      </c>
      <c r="L38" s="5" t="n">
        <f aca="false">-G38</f>
        <v>-45.885444</v>
      </c>
    </row>
    <row r="39" customFormat="false" ht="15" hidden="false" customHeight="false" outlineLevel="0" collapsed="false">
      <c r="A39" s="17" t="n">
        <v>0.85</v>
      </c>
      <c r="B39" s="6" t="n">
        <f aca="false">A39*Sizing!$B$5</f>
        <v>44.88</v>
      </c>
      <c r="C39" s="6" t="n">
        <f aca="false">A39*Sizing!$B$29*1000/Sizing!$B$44</f>
        <v>254.730989010989</v>
      </c>
      <c r="D39" s="8" t="n">
        <f aca="false">C39/Sizing!$B$32</f>
        <v>0.701738261738262</v>
      </c>
      <c r="E39" s="6" t="n">
        <f aca="false">IF($D$39&gt;=1,IF(ISNUMBER(INDEX(InverterPQ!$B$7:$L$7,1,11)),INDEX(InverterPQ!$B$7:$L$7,1,11),0),IF(OR(NOT(ISNUMBER(INDEX(InverterPQ!$B$7:$L$7,1,MATCH($D$39,InverterPQ!$B$4:$L$4,1))))),0,IF($D$39=INDEX(InverterPQ!$B$4:$L$4,1,MATCH($D$39,InverterPQ!$B$4:$L$4,1)),INDEX(InverterPQ!$B$7:$L$7,1,MATCH($D$39,InverterPQ!$B$4:$L$4,1)),IF(NOT(ISNUMBER(INDEX(InverterPQ!$B$7:$L$7,1,MATCH($D$39,InverterPQ!$B$4:$L$4,1)+1))),0,INDEX(InverterPQ!$B$7:$L$7,1,MATCH($D$39,InverterPQ!$B$4:$L$4,1))+(INDEX(InverterPQ!$B$7:$L$7,1,MATCH($D$39,InverterPQ!$B$4:$L$4,1)+1)-INDEX(InverterPQ!$B$7:$L$7,1,MATCH($D$39,InverterPQ!$B$4:$L$4,1)))*($D$39-INDEX(InverterPQ!$B$4:$L$4,1,MATCH($D$39,InverterPQ!$B$4:$L$4,1)))/(INDEX(InverterPQ!$B$4:$L$4,1,MATCH($D$39,InverterPQ!$B$4:$L$4,1)+1)-INDEX(InverterPQ!$B$4:$L$4,1,MATCH($D$39,InverterPQ!$B$4:$L$4,1)))))))</f>
        <v>60</v>
      </c>
      <c r="F39" s="5" t="n">
        <f aca="false">Sizing!$B$44*E39/100*Sizing!$B$32/1000+Sizing!$B$39-Sizing!$B$19</f>
        <v>33.393756</v>
      </c>
      <c r="G39" s="5" t="n">
        <f aca="false">Sizing!$B$44*E39/100*Sizing!$B$32/1000+Sizing!$B$19</f>
        <v>45.885444</v>
      </c>
      <c r="H39" s="5" t="n">
        <f aca="false">IF(A39&lt;GridCodes!$D$15/100-0.0001,0,$B$4*IF(GridCodes!$E$15&lt;=GridCodes!$D$15,1,MIN(1,(A39-GridCodes!$D$15/100)/(GridCodes!$E$15/100-GridCodes!$D$15/100))))</f>
        <v>17.3712</v>
      </c>
      <c r="I39" s="5" t="n">
        <f aca="false">IF(A39&lt;GridCodes!$D$15/100-0.0001,0,IF(GridCodes!$F$15=1,IF(A39&gt;=0.5,$B$4,$B$4*0.12/0.33+($B$4-$B$4*0.12/0.33)*(A39-GridCodes!$D$15/100)/(0.5-GridCodes!$D$15/100)),$B$4*IF(GridCodes!$E$15&lt;=GridCodes!$D$15,1,MIN(1,(A39-GridCodes!$D$15/100)/(GridCodes!$E$15/100-GridCodes!$D$15/100)))))</f>
        <v>17.3712</v>
      </c>
      <c r="J39" s="15" t="str">
        <f aca="false">IF(AND(MAX(0,F39)&gt;=H39-0.001,MAX(0,G39)&gt;=I39-0.001),"PASS","FAIL")</f>
        <v>PASS</v>
      </c>
      <c r="K39" s="5" t="n">
        <f aca="false">-I39</f>
        <v>-17.3712</v>
      </c>
      <c r="L39" s="5" t="n">
        <f aca="false">-G39</f>
        <v>-45.885444</v>
      </c>
    </row>
    <row r="40" customFormat="false" ht="15" hidden="false" customHeight="false" outlineLevel="0" collapsed="false">
      <c r="A40" s="17" t="n">
        <v>0.9</v>
      </c>
      <c r="B40" s="6" t="n">
        <f aca="false">A40*Sizing!$B$5</f>
        <v>47.52</v>
      </c>
      <c r="C40" s="6" t="n">
        <f aca="false">A40*Sizing!$B$29*1000/Sizing!$B$44</f>
        <v>269.715164835165</v>
      </c>
      <c r="D40" s="8" t="n">
        <f aca="false">C40/Sizing!$B$32</f>
        <v>0.743016983016983</v>
      </c>
      <c r="E40" s="6" t="n">
        <f aca="false">IF($D$40&gt;=1,IF(ISNUMBER(INDEX(InverterPQ!$B$7:$L$7,1,11)),INDEX(InverterPQ!$B$7:$L$7,1,11),0),IF(OR(NOT(ISNUMBER(INDEX(InverterPQ!$B$7:$L$7,1,MATCH($D$40,InverterPQ!$B$4:$L$4,1))))),0,IF($D$40=INDEX(InverterPQ!$B$4:$L$4,1,MATCH($D$40,InverterPQ!$B$4:$L$4,1)),INDEX(InverterPQ!$B$7:$L$7,1,MATCH($D$40,InverterPQ!$B$4:$L$4,1)),IF(NOT(ISNUMBER(INDEX(InverterPQ!$B$7:$L$7,1,MATCH($D$40,InverterPQ!$B$4:$L$4,1)+1))),0,INDEX(InverterPQ!$B$7:$L$7,1,MATCH($D$40,InverterPQ!$B$4:$L$4,1))+(INDEX(InverterPQ!$B$7:$L$7,1,MATCH($D$40,InverterPQ!$B$4:$L$4,1)+1)-INDEX(InverterPQ!$B$7:$L$7,1,MATCH($D$40,InverterPQ!$B$4:$L$4,1)))*($D$40-INDEX(InverterPQ!$B$4:$L$4,1,MATCH($D$40,InverterPQ!$B$4:$L$4,1)))/(INDEX(InverterPQ!$B$4:$L$4,1,MATCH($D$40,InverterPQ!$B$4:$L$4,1)+1)-INDEX(InverterPQ!$B$4:$L$4,1,MATCH($D$40,InverterPQ!$B$4:$L$4,1)))))))</f>
        <v>60</v>
      </c>
      <c r="F40" s="5" t="n">
        <f aca="false">Sizing!$B$44*E40/100*Sizing!$B$32/1000+Sizing!$B$39-Sizing!$B$19</f>
        <v>33.393756</v>
      </c>
      <c r="G40" s="5" t="n">
        <f aca="false">Sizing!$B$44*E40/100*Sizing!$B$32/1000+Sizing!$B$19</f>
        <v>45.885444</v>
      </c>
      <c r="H40" s="5" t="n">
        <f aca="false">IF(A40&lt;GridCodes!$D$15/100-0.0001,0,$B$4*IF(GridCodes!$E$15&lt;=GridCodes!$D$15,1,MIN(1,(A40-GridCodes!$D$15/100)/(GridCodes!$E$15/100-GridCodes!$D$15/100))))</f>
        <v>17.3712</v>
      </c>
      <c r="I40" s="5" t="n">
        <f aca="false">IF(A40&lt;GridCodes!$D$15/100-0.0001,0,IF(GridCodes!$F$15=1,IF(A40&gt;=0.5,$B$4,$B$4*0.12/0.33+($B$4-$B$4*0.12/0.33)*(A40-GridCodes!$D$15/100)/(0.5-GridCodes!$D$15/100)),$B$4*IF(GridCodes!$E$15&lt;=GridCodes!$D$15,1,MIN(1,(A40-GridCodes!$D$15/100)/(GridCodes!$E$15/100-GridCodes!$D$15/100)))))</f>
        <v>17.3712</v>
      </c>
      <c r="J40" s="15" t="str">
        <f aca="false">IF(AND(MAX(0,F40)&gt;=H40-0.001,MAX(0,G40)&gt;=I40-0.001),"PASS","FAIL")</f>
        <v>PASS</v>
      </c>
      <c r="K40" s="5" t="n">
        <f aca="false">-I40</f>
        <v>-17.3712</v>
      </c>
      <c r="L40" s="5" t="n">
        <f aca="false">-G40</f>
        <v>-45.885444</v>
      </c>
    </row>
    <row r="41" customFormat="false" ht="15" hidden="false" customHeight="false" outlineLevel="0" collapsed="false">
      <c r="A41" s="17" t="n">
        <v>0.95</v>
      </c>
      <c r="B41" s="6" t="n">
        <f aca="false">A41*Sizing!$B$5</f>
        <v>50.16</v>
      </c>
      <c r="C41" s="6" t="n">
        <f aca="false">A41*Sizing!$B$29*1000/Sizing!$B$44</f>
        <v>284.699340659341</v>
      </c>
      <c r="D41" s="8" t="n">
        <f aca="false">C41/Sizing!$B$32</f>
        <v>0.784295704295704</v>
      </c>
      <c r="E41" s="6" t="n">
        <f aca="false">IF($D$41&gt;=1,IF(ISNUMBER(INDEX(InverterPQ!$B$7:$L$7,1,11)),INDEX(InverterPQ!$B$7:$L$7,1,11),0),IF(OR(NOT(ISNUMBER(INDEX(InverterPQ!$B$7:$L$7,1,MATCH($D$41,InverterPQ!$B$4:$L$4,1))))),0,IF($D$41=INDEX(InverterPQ!$B$4:$L$4,1,MATCH($D$41,InverterPQ!$B$4:$L$4,1)),INDEX(InverterPQ!$B$7:$L$7,1,MATCH($D$41,InverterPQ!$B$4:$L$4,1)),IF(NOT(ISNUMBER(INDEX(InverterPQ!$B$7:$L$7,1,MATCH($D$41,InverterPQ!$B$4:$L$4,1)+1))),0,INDEX(InverterPQ!$B$7:$L$7,1,MATCH($D$41,InverterPQ!$B$4:$L$4,1))+(INDEX(InverterPQ!$B$7:$L$7,1,MATCH($D$41,InverterPQ!$B$4:$L$4,1)+1)-INDEX(InverterPQ!$B$7:$L$7,1,MATCH($D$41,InverterPQ!$B$4:$L$4,1)))*($D$41-INDEX(InverterPQ!$B$4:$L$4,1,MATCH($D$41,InverterPQ!$B$4:$L$4,1)))/(INDEX(InverterPQ!$B$4:$L$4,1,MATCH($D$41,InverterPQ!$B$4:$L$4,1)+1)-INDEX(InverterPQ!$B$4:$L$4,1,MATCH($D$41,InverterPQ!$B$4:$L$4,1)))))))</f>
        <v>60</v>
      </c>
      <c r="F41" s="5" t="n">
        <f aca="false">Sizing!$B$44*E41/100*Sizing!$B$32/1000+Sizing!$B$39-Sizing!$B$19</f>
        <v>33.393756</v>
      </c>
      <c r="G41" s="5" t="n">
        <f aca="false">Sizing!$B$44*E41/100*Sizing!$B$32/1000+Sizing!$B$19</f>
        <v>45.885444</v>
      </c>
      <c r="H41" s="5" t="n">
        <f aca="false">IF(A41&lt;GridCodes!$D$15/100-0.0001,0,$B$4*IF(GridCodes!$E$15&lt;=GridCodes!$D$15,1,MIN(1,(A41-GridCodes!$D$15/100)/(GridCodes!$E$15/100-GridCodes!$D$15/100))))</f>
        <v>17.3712</v>
      </c>
      <c r="I41" s="5" t="n">
        <f aca="false">IF(A41&lt;GridCodes!$D$15/100-0.0001,0,IF(GridCodes!$F$15=1,IF(A41&gt;=0.5,$B$4,$B$4*0.12/0.33+($B$4-$B$4*0.12/0.33)*(A41-GridCodes!$D$15/100)/(0.5-GridCodes!$D$15/100)),$B$4*IF(GridCodes!$E$15&lt;=GridCodes!$D$15,1,MIN(1,(A41-GridCodes!$D$15/100)/(GridCodes!$E$15/100-GridCodes!$D$15/100)))))</f>
        <v>17.3712</v>
      </c>
      <c r="J41" s="15" t="str">
        <f aca="false">IF(AND(MAX(0,F41)&gt;=H41-0.001,MAX(0,G41)&gt;=I41-0.001),"PASS","FAIL")</f>
        <v>PASS</v>
      </c>
      <c r="K41" s="5" t="n">
        <f aca="false">-I41</f>
        <v>-17.3712</v>
      </c>
      <c r="L41" s="5" t="n">
        <f aca="false">-G41</f>
        <v>-45.885444</v>
      </c>
    </row>
    <row r="42" customFormat="false" ht="15" hidden="false" customHeight="false" outlineLevel="0" collapsed="false">
      <c r="A42" s="17" t="n">
        <v>1</v>
      </c>
      <c r="B42" s="6" t="n">
        <f aca="false">A42*Sizing!$B$5</f>
        <v>52.8</v>
      </c>
      <c r="C42" s="6" t="n">
        <f aca="false">A42*Sizing!$B$29*1000/Sizing!$B$44</f>
        <v>299.683516483517</v>
      </c>
      <c r="D42" s="8" t="n">
        <f aca="false">C42/Sizing!$B$32</f>
        <v>0.825574425574426</v>
      </c>
      <c r="E42" s="6" t="n">
        <f aca="false">IF($D$42&gt;=1,IF(ISNUMBER(INDEX(InverterPQ!$B$7:$L$7,1,11)),INDEX(InverterPQ!$B$7:$L$7,1,11),0),IF(OR(NOT(ISNUMBER(INDEX(InverterPQ!$B$7:$L$7,1,MATCH($D$42,InverterPQ!$B$4:$L$4,1))))),0,IF($D$42=INDEX(InverterPQ!$B$4:$L$4,1,MATCH($D$42,InverterPQ!$B$4:$L$4,1)),INDEX(InverterPQ!$B$7:$L$7,1,MATCH($D$42,InverterPQ!$B$4:$L$4,1)),IF(NOT(ISNUMBER(INDEX(InverterPQ!$B$7:$L$7,1,MATCH($D$42,InverterPQ!$B$4:$L$4,1)+1))),0,INDEX(InverterPQ!$B$7:$L$7,1,MATCH($D$42,InverterPQ!$B$4:$L$4,1))+(INDEX(InverterPQ!$B$7:$L$7,1,MATCH($D$42,InverterPQ!$B$4:$L$4,1)+1)-INDEX(InverterPQ!$B$7:$L$7,1,MATCH($D$42,InverterPQ!$B$4:$L$4,1)))*($D$42-INDEX(InverterPQ!$B$4:$L$4,1,MATCH($D$42,InverterPQ!$B$4:$L$4,1)))/(INDEX(InverterPQ!$B$4:$L$4,1,MATCH($D$42,InverterPQ!$B$4:$L$4,1)+1)-INDEX(InverterPQ!$B$4:$L$4,1,MATCH($D$42,InverterPQ!$B$4:$L$4,1)))))))</f>
        <v>55.8057942057942</v>
      </c>
      <c r="F42" s="5" t="n">
        <f aca="false">Sizing!$B$44*E42/100*Sizing!$B$32/1000+Sizing!$B$39-Sizing!$B$19</f>
        <v>30.622812</v>
      </c>
      <c r="G42" s="5" t="n">
        <f aca="false">Sizing!$B$44*E42/100*Sizing!$B$32/1000+Sizing!$B$19</f>
        <v>43.1145</v>
      </c>
      <c r="H42" s="5" t="n">
        <f aca="false">IF(A42&lt;GridCodes!$D$15/100-0.0001,0,$B$4*IF(GridCodes!$E$15&lt;=GridCodes!$D$15,1,MIN(1,(A42-GridCodes!$D$15/100)/(GridCodes!$E$15/100-GridCodes!$D$15/100))))</f>
        <v>17.3712</v>
      </c>
      <c r="I42" s="5" t="n">
        <f aca="false">IF(A42&lt;GridCodes!$D$15/100-0.0001,0,IF(GridCodes!$F$15=1,IF(A42&gt;=0.5,$B$4,$B$4*0.12/0.33+($B$4-$B$4*0.12/0.33)*(A42-GridCodes!$D$15/100)/(0.5-GridCodes!$D$15/100)),$B$4*IF(GridCodes!$E$15&lt;=GridCodes!$D$15,1,MIN(1,(A42-GridCodes!$D$15/100)/(GridCodes!$E$15/100-GridCodes!$D$15/100)))))</f>
        <v>17.3712</v>
      </c>
      <c r="J42" s="15" t="str">
        <f aca="false">IF(AND(MAX(0,F42)&gt;=H42-0.001,MAX(0,G42)&gt;=I42-0.001),"PASS","FAIL")</f>
        <v>PASS</v>
      </c>
      <c r="K42" s="5" t="n">
        <f aca="false">-I42</f>
        <v>-17.3712</v>
      </c>
      <c r="L42" s="5" t="n">
        <f aca="false">-G42</f>
        <v>-43.1145</v>
      </c>
    </row>
    <row r="44" customFormat="false" ht="15" hidden="false" customHeight="false" outlineLevel="0" collapsed="false">
      <c r="A44" s="1" t="s">
        <v>144</v>
      </c>
      <c r="B44" s="18" t="str">
        <f aca="false">IF(COUNTIF(G8:G13,"FAIL")+COUNTIF(J22:J42,"FAIL")=0,"COMPLIANT","NOT COMPLIANT")</f>
        <v>COMPLIANT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2026-07-17T07:04:24Z</dcterms:created>
  <dc:creator>openpyxl</dc:creator>
  <dc:description/>
  <dc:language>en-US</dc:language>
  <cp:lastModifiedBy/>
  <dcterms:modified xsi:type="dcterms:W3CDTF">2026-07-17T07:04:24Z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